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2B64475-240D-4D29-AE54-D91DB15BF86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Instructions" sheetId="1" r:id="rId1"/>
    <sheet name="SAMSON ASSIGNMENT SOLV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vtAcCsjh/vKEbpM9DBUSTZZwswPGhBSZgOtsjeHeTxQ="/>
    </ext>
  </extLst>
</workbook>
</file>

<file path=xl/calcChain.xml><?xml version="1.0" encoding="utf-8"?>
<calcChain xmlns="http://schemas.openxmlformats.org/spreadsheetml/2006/main">
  <c r="M2" i="2" l="1"/>
  <c r="L2" i="2"/>
  <c r="Z2" i="2"/>
  <c r="Y2" i="2"/>
  <c r="X2" i="2"/>
  <c r="W2" i="2"/>
  <c r="V2" i="2"/>
  <c r="U2" i="2"/>
  <c r="T2" i="2"/>
  <c r="S2" i="2"/>
  <c r="R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5C3C97F-926D-41C7-82A2-EAE79B370601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<sst xmlns="http://schemas.openxmlformats.org/spreadsheetml/2006/main" count="856" uniqueCount="208">
  <si>
    <t>Using the data in the next Sheet, do the following:</t>
  </si>
  <si>
    <t>1. Apply basic formatting:</t>
  </si>
  <si>
    <t>Bold the headers</t>
  </si>
  <si>
    <t>Add borders to the table</t>
  </si>
  <si>
    <t>Apply background color to header row</t>
  </si>
  <si>
    <t>Format the Monthly Salary column as Currency</t>
  </si>
  <si>
    <t>2. Text Functions</t>
  </si>
  <si>
    <t>Using your data perform the following:</t>
  </si>
  <si>
    <t>Extract the first name and last name from the Full Name column using appropriate text functions.</t>
  </si>
  <si>
    <t>Create a column that shows the email address for each employee in this format:</t>
  </si>
  <si>
    <t>firstname.lastname@dame.com</t>
  </si>
  <si>
    <t>Create a column that shows the length of each full name.</t>
  </si>
  <si>
    <t>Convert the department name to:</t>
  </si>
  <si>
    <t>All uppercase (UPPER)</t>
  </si>
  <si>
    <t>All lowercase (LOWER)</t>
  </si>
  <si>
    <t>Proper case (PROPER)</t>
  </si>
  <si>
    <t>Remove any extra spaces in names using the TRIM function.</t>
  </si>
  <si>
    <t>3. Aggregate functions</t>
  </si>
  <si>
    <t>Basic Aggregations</t>
  </si>
  <si>
    <t>- Find:</t>
  </si>
  <si>
    <t>Total Salary using SUM</t>
  </si>
  <si>
    <t>Average Salary using AVERAGE</t>
  </si>
  <si>
    <t>Total number of employees using COUNTA</t>
  </si>
  <si>
    <t>- Calculate:</t>
  </si>
  <si>
    <t>Total Salary for only Sales Department using SUMIF</t>
  </si>
  <si>
    <t>Average Salary for only HR Department using AVERAGEIF</t>
  </si>
  <si>
    <t>Total Salary for Lagos employees with more than 3 years of experience using SUMIFS</t>
  </si>
  <si>
    <t>Average Salary for Female employees in Lagos using AVERAGEIFS</t>
  </si>
  <si>
    <t>Count the number of Male employees in Lagos using COUNTIFS</t>
  </si>
  <si>
    <t>Find the Maximum Salary for employees in IT Department using MAXIFS</t>
  </si>
  <si>
    <r>
      <rPr>
        <b/>
        <sz val="11"/>
        <rFont val="Calibri"/>
        <family val="2"/>
      </rPr>
      <t>Submit here:</t>
    </r>
    <r>
      <rPr>
        <sz val="11"/>
        <color theme="1"/>
        <rFont val="Calibri"/>
        <scheme val="minor"/>
      </rPr>
      <t xml:space="preserve"> </t>
    </r>
    <r>
      <rPr>
        <u/>
        <sz val="11"/>
        <color rgb="FF1155CC"/>
        <rFont val="Calibri"/>
        <family val="2"/>
      </rPr>
      <t>https://forms.gle/Y7GVAUYWvy7mLTReA</t>
    </r>
  </si>
  <si>
    <t>Employee ID</t>
  </si>
  <si>
    <t>Full Name</t>
  </si>
  <si>
    <t>Department</t>
  </si>
  <si>
    <t>Job Title</t>
  </si>
  <si>
    <t>Gender</t>
  </si>
  <si>
    <t>Salary</t>
  </si>
  <si>
    <t>Experience (Years)</t>
  </si>
  <si>
    <t>City</t>
  </si>
  <si>
    <t>E001</t>
  </si>
  <si>
    <t>Sade Bassey</t>
  </si>
  <si>
    <t>IT</t>
  </si>
  <si>
    <t>System Admin</t>
  </si>
  <si>
    <t>Female</t>
  </si>
  <si>
    <t>Port Harcourt</t>
  </si>
  <si>
    <t>E002</t>
  </si>
  <si>
    <t>Marketing</t>
  </si>
  <si>
    <t>Recruiter</t>
  </si>
  <si>
    <t>Male</t>
  </si>
  <si>
    <t>Ibadan</t>
  </si>
  <si>
    <t>E003</t>
  </si>
  <si>
    <t>Faith Udo</t>
  </si>
  <si>
    <t>Sales</t>
  </si>
  <si>
    <t>E004</t>
  </si>
  <si>
    <t>Finance</t>
  </si>
  <si>
    <t>Sales Executive</t>
  </si>
  <si>
    <t>Kano</t>
  </si>
  <si>
    <t>E005</t>
  </si>
  <si>
    <t>Ibrahim Musa</t>
  </si>
  <si>
    <t>Lagos</t>
  </si>
  <si>
    <t>E006</t>
  </si>
  <si>
    <t>Tunde Salisu</t>
  </si>
  <si>
    <t>Auditor</t>
  </si>
  <si>
    <t>E007</t>
  </si>
  <si>
    <t>James Obi</t>
  </si>
  <si>
    <t>E008</t>
  </si>
  <si>
    <t>Abuja</t>
  </si>
  <si>
    <t>E009</t>
  </si>
  <si>
    <t>HR Manager</t>
  </si>
  <si>
    <t>E010</t>
  </si>
  <si>
    <t>Tope Ade</t>
  </si>
  <si>
    <t>HR</t>
  </si>
  <si>
    <t>E011</t>
  </si>
  <si>
    <t>Sales Manager</t>
  </si>
  <si>
    <t>E012</t>
  </si>
  <si>
    <t>Chika Umeh</t>
  </si>
  <si>
    <t>Software Engineer</t>
  </si>
  <si>
    <t>E013</t>
  </si>
  <si>
    <t>E014</t>
  </si>
  <si>
    <t>Marketing Officer</t>
  </si>
  <si>
    <t>E015</t>
  </si>
  <si>
    <t>E016</t>
  </si>
  <si>
    <t>E017</t>
  </si>
  <si>
    <t>E018</t>
  </si>
  <si>
    <t>E019</t>
  </si>
  <si>
    <t>Maria Okafor</t>
  </si>
  <si>
    <t>E020</t>
  </si>
  <si>
    <t>Accountant</t>
  </si>
  <si>
    <t>E021</t>
  </si>
  <si>
    <t>E022</t>
  </si>
  <si>
    <t>Data Analyst</t>
  </si>
  <si>
    <t>E023</t>
  </si>
  <si>
    <t>E024</t>
  </si>
  <si>
    <t>E025</t>
  </si>
  <si>
    <t>Ngozi Bello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</si>
  <si>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</si>
  <si>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</si>
  <si>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</si>
  <si>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</si>
  <si>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</si>
  <si>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</si>
  <si>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</si>
  <si>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</si>
  <si>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</si>
  <si>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</si>
  <si>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</si>
  <si>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</si>
  <si>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</si>
  <si>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</si>
  <si>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</si>
  <si>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</si>
  <si>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</si>
  <si>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</si>
  <si>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</si>
  <si>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</si>
  <si>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</si>
  <si>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</si>
  <si>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</si>
  <si>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Emeka John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</si>
  <si>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</si>
  <si>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</si>
  <si>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</si>
  <si>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</si>
  <si>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</si>
  <si>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</si>
  <si>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</si>
  <si>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</si>
  <si>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</si>
  <si>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</si>
  <si>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</si>
  <si>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</si>
  <si>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</si>
  <si>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</si>
  <si>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</si>
  <si>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</si>
  <si>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</si>
  <si>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</si>
  <si>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</si>
  <si>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</si>
  <si>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</si>
  <si>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</si>
  <si>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</si>
  <si>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</si>
  <si>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</si>
  <si>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</si>
  <si>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</si>
  <si>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</si>
  <si>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</si>
  <si>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</si>
  <si>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</si>
  <si>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</si>
  <si>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</si>
  <si>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</si>
  <si>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</si>
  <si>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</si>
  <si>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</si>
  <si>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</si>
  <si>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</si>
  <si>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</si>
  <si>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</si>
  <si>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</si>
  <si>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</si>
  <si>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</si>
  <si>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</si>
  <si>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</si>
  <si>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</si>
  <si>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</si>
  <si>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</si>
  <si>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</si>
  <si>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</si>
  <si>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</si>
  <si>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Sade</t>
  </si>
  <si>
    <t>Bassey</t>
  </si>
  <si>
    <t>Faith</t>
  </si>
  <si>
    <t>Udo</t>
  </si>
  <si>
    <t>Ibrahim</t>
  </si>
  <si>
    <t>Musa</t>
  </si>
  <si>
    <t>Tunde</t>
  </si>
  <si>
    <t>Salisu</t>
  </si>
  <si>
    <t>James</t>
  </si>
  <si>
    <t>Obi</t>
  </si>
  <si>
    <t>Tope</t>
  </si>
  <si>
    <t>Ade</t>
  </si>
  <si>
    <t>Chika</t>
  </si>
  <si>
    <t>Umeh</t>
  </si>
  <si>
    <t>Maria</t>
  </si>
  <si>
    <t>Okafor</t>
  </si>
  <si>
    <t>Ngozi</t>
  </si>
  <si>
    <t>Bello</t>
  </si>
  <si>
    <t>Emeka</t>
  </si>
  <si>
    <t>John</t>
  </si>
  <si>
    <t>First Name</t>
  </si>
  <si>
    <t>Last Name</t>
  </si>
  <si>
    <t>email</t>
  </si>
  <si>
    <t>LENGTH OF FULL NAME</t>
  </si>
  <si>
    <t>UPPER</t>
  </si>
  <si>
    <t>LOWER</t>
  </si>
  <si>
    <t>PROPER</t>
  </si>
  <si>
    <t>TRIM</t>
  </si>
  <si>
    <t>SUM</t>
  </si>
  <si>
    <t>AVERAGE</t>
  </si>
  <si>
    <t>COUNTA</t>
  </si>
  <si>
    <t>SUMIF</t>
  </si>
  <si>
    <t>AVERAGEIF</t>
  </si>
  <si>
    <t>SUMIFS</t>
  </si>
  <si>
    <t>AVERAGEIFS</t>
  </si>
  <si>
    <t>COUNTIFS</t>
  </si>
  <si>
    <t>MAXIFS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</si>
</sst>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₦-468]\ * #,##0.00_-;\-[$₦-468]\ * #,##0.00_-;_-[$₦-468]\ * &quot;-&quot;??_-;_-@_-"/>
    <numFmt numFmtId="165" formatCode="_-[$₦-46A]* #,##0.00_-;\-[$₦-46A]* #,##0.00_-;_-[$₦-46A]* &quot;-&quot;??_-;_-@_-"/>
  </numFmts>
  <fonts count="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u/>
      <sz val="11"/>
      <color rgb="FF1155CC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4" fillId="0" borderId="1" xfId="0" applyFont="1" applyBorder="1" applyAlignment="1">
      <alignment horizontal="center" vertical="top"/>
    </xf>
    <xf numFmtId="164" fontId="4" fillId="0" borderId="1" xfId="0" applyNumberFormat="1" applyFont="1" applyBorder="1" applyAlignment="1">
      <alignment horizontal="center" vertical="top"/>
    </xf>
    <xf numFmtId="164" fontId="2" fillId="0" borderId="0" xfId="0" applyNumberFormat="1" applyFont="1"/>
    <xf numFmtId="164" fontId="0" fillId="0" borderId="0" xfId="0" applyNumberFormat="1" applyFont="1" applyAlignment="1"/>
    <xf numFmtId="0" fontId="1" fillId="0" borderId="0" xfId="0" applyFont="1" applyAlignment="1"/>
    <xf numFmtId="0" fontId="1" fillId="0" borderId="0" xfId="0" applyFont="1" applyFill="1" applyBorder="1" applyAlignment="1"/>
    <xf numFmtId="44" fontId="0" fillId="0" borderId="0" xfId="1" applyFont="1" applyAlignment="1"/>
    <xf numFmtId="164" fontId="0" fillId="0" borderId="0" xfId="1" applyNumberFormat="1" applyFont="1" applyAlignment="1"/>
    <xf numFmtId="165" fontId="0" fillId="0" borderId="0" xfId="0" applyNumberFormat="1" applyFont="1" applyAlignment="1"/>
  </cellXfs>
  <cellStyles count="2">
    <cellStyle name="Currency" xfId="1" builtinId="4"/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₦-468]\ * #,##0.00_-;\-[$₦-468]\ * #,##0.00_-;_-[$₦-468]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DF7C06-BC9E-4CCB-9B3D-1323FF6B4A9E}" name="Table1" displayName="Table1" ref="A1:H101" totalsRowShown="0" headerRowDxfId="11" dataDxfId="9" headerRowBorderDxfId="10" tableBorderDxfId="8">
  <autoFilter ref="A1:H101" xr:uid="{CEDF7C06-BC9E-4CCB-9B3D-1323FF6B4A9E}"/>
  <tableColumns count="8">
    <tableColumn id="1" xr3:uid="{9C7C1800-1175-40EB-9EE4-38E8AD239B29}" name="Employee ID" dataDxfId="7"/>
    <tableColumn id="2" xr3:uid="{302DE69C-1BEA-4D68-9D33-B2DAF9FAB722}" name="Full Name" dataDxfId="6"/>
    <tableColumn id="3" xr3:uid="{7CAEA900-D0D0-41B1-A5A9-8B1A6C17477C}" name="Department" dataDxfId="5"/>
    <tableColumn id="4" xr3:uid="{20B5556B-874B-4B70-B4AD-ACB9FAE46DA4}" name="Job Title" dataDxfId="4"/>
    <tableColumn id="5" xr3:uid="{D2821ACF-83F0-4606-A83F-74E0B3B2D544}" name="Gender" dataDxfId="3"/>
    <tableColumn id="6" xr3:uid="{179A7950-1736-446E-A69B-08DDB939D1CD}" name="Salary" dataDxfId="2"/>
    <tableColumn id="7" xr3:uid="{82D7297F-4791-496E-BD90-9F985F6A951B}" name="Experience (Years)" dataDxfId="1"/>
    <tableColumn id="8" xr3:uid="{BFD481FF-9CC3-43C7-BE01-8655FE23DF52}" name="Cit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orms.gle/Y7GVAUYWvy7mLTReA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A57" sqref="A57"/>
    </sheetView>
  </sheetViews>
  <sheetFormatPr defaultColWidth="14.42578125" defaultRowHeight="15" customHeight="1" x14ac:dyDescent="0.25"/>
  <cols>
    <col min="1" max="1" width="127" customWidth="1"/>
    <col min="2" max="26" width="9" customWidth="1"/>
  </cols>
  <sheetData>
    <row r="1" spans="1:1" ht="16.5" customHeight="1" x14ac:dyDescent="0.25">
      <c r="A1" s="1" t="s">
        <v>0</v>
      </c>
    </row>
    <row r="2" spans="1:1" ht="16.5" customHeight="1" x14ac:dyDescent="0.25"/>
    <row r="3" spans="1:1" ht="16.5" customHeight="1" x14ac:dyDescent="0.25">
      <c r="A3" s="1" t="s">
        <v>1</v>
      </c>
    </row>
    <row r="4" spans="1:1" ht="16.5" customHeight="1" x14ac:dyDescent="0.25"/>
    <row r="5" spans="1:1" ht="16.5" customHeight="1" x14ac:dyDescent="0.25">
      <c r="A5" s="1" t="s">
        <v>2</v>
      </c>
    </row>
    <row r="6" spans="1:1" ht="16.5" customHeight="1" x14ac:dyDescent="0.25"/>
    <row r="7" spans="1:1" ht="16.5" customHeight="1" x14ac:dyDescent="0.25">
      <c r="A7" s="1" t="s">
        <v>3</v>
      </c>
    </row>
    <row r="8" spans="1:1" ht="16.5" customHeight="1" x14ac:dyDescent="0.25"/>
    <row r="9" spans="1:1" ht="16.5" customHeight="1" x14ac:dyDescent="0.25">
      <c r="A9" s="1" t="s">
        <v>4</v>
      </c>
    </row>
    <row r="10" spans="1:1" ht="16.5" customHeight="1" x14ac:dyDescent="0.25"/>
    <row r="11" spans="1:1" ht="16.5" customHeight="1" x14ac:dyDescent="0.25">
      <c r="A11" s="1" t="s">
        <v>5</v>
      </c>
    </row>
    <row r="12" spans="1:1" ht="16.5" customHeight="1" x14ac:dyDescent="0.25"/>
    <row r="13" spans="1:1" ht="16.5" customHeight="1" x14ac:dyDescent="0.25">
      <c r="A13" s="1" t="s">
        <v>6</v>
      </c>
    </row>
    <row r="14" spans="1:1" ht="16.5" customHeight="1" x14ac:dyDescent="0.25"/>
    <row r="15" spans="1:1" ht="16.5" customHeight="1" x14ac:dyDescent="0.25">
      <c r="A15" s="1" t="s">
        <v>7</v>
      </c>
    </row>
    <row r="16" spans="1:1" ht="16.5" customHeight="1" x14ac:dyDescent="0.25"/>
    <row r="17" spans="1:1" ht="16.5" customHeight="1" x14ac:dyDescent="0.25">
      <c r="A17" s="1" t="s">
        <v>8</v>
      </c>
    </row>
    <row r="18" spans="1:1" ht="16.5" customHeight="1" x14ac:dyDescent="0.25"/>
    <row r="19" spans="1:1" ht="16.5" customHeight="1" x14ac:dyDescent="0.25">
      <c r="A19" s="1" t="s">
        <v>9</v>
      </c>
    </row>
    <row r="20" spans="1:1" ht="16.5" customHeight="1" x14ac:dyDescent="0.25">
      <c r="A20" s="1" t="s">
        <v>10</v>
      </c>
    </row>
    <row r="21" spans="1:1" ht="16.5" customHeight="1" x14ac:dyDescent="0.25"/>
    <row r="22" spans="1:1" ht="16.5" customHeight="1" x14ac:dyDescent="0.25">
      <c r="A22" s="1" t="s">
        <v>11</v>
      </c>
    </row>
    <row r="23" spans="1:1" ht="16.5" customHeight="1" x14ac:dyDescent="0.25"/>
    <row r="24" spans="1:1" ht="16.5" customHeight="1" x14ac:dyDescent="0.25">
      <c r="A24" s="1" t="s">
        <v>12</v>
      </c>
    </row>
    <row r="25" spans="1:1" ht="16.5" customHeight="1" x14ac:dyDescent="0.25"/>
    <row r="26" spans="1:1" ht="16.5" customHeight="1" x14ac:dyDescent="0.25">
      <c r="A26" s="1" t="s">
        <v>13</v>
      </c>
    </row>
    <row r="27" spans="1:1" ht="16.5" customHeight="1" x14ac:dyDescent="0.25"/>
    <row r="28" spans="1:1" ht="16.5" customHeight="1" x14ac:dyDescent="0.25">
      <c r="A28" s="1" t="s">
        <v>14</v>
      </c>
    </row>
    <row r="29" spans="1:1" ht="16.5" customHeight="1" x14ac:dyDescent="0.25"/>
    <row r="30" spans="1:1" ht="16.5" customHeight="1" x14ac:dyDescent="0.25">
      <c r="A30" s="1" t="s">
        <v>15</v>
      </c>
    </row>
    <row r="31" spans="1:1" ht="16.5" customHeight="1" x14ac:dyDescent="0.25"/>
    <row r="32" spans="1:1" ht="16.5" customHeight="1" x14ac:dyDescent="0.25">
      <c r="A32" s="1" t="s">
        <v>16</v>
      </c>
    </row>
    <row r="33" spans="1:1" ht="16.5" customHeight="1" x14ac:dyDescent="0.25"/>
    <row r="34" spans="1:1" ht="16.5" customHeight="1" x14ac:dyDescent="0.25"/>
    <row r="35" spans="1:1" ht="16.5" customHeight="1" x14ac:dyDescent="0.25">
      <c r="A35" s="1" t="s">
        <v>17</v>
      </c>
    </row>
    <row r="36" spans="1:1" ht="16.5" customHeight="1" x14ac:dyDescent="0.25"/>
    <row r="37" spans="1:1" ht="16.5" customHeight="1" x14ac:dyDescent="0.25">
      <c r="A37" s="1" t="s">
        <v>18</v>
      </c>
    </row>
    <row r="38" spans="1:1" ht="16.5" customHeight="1" x14ac:dyDescent="0.25"/>
    <row r="39" spans="1:1" ht="16.5" customHeight="1" x14ac:dyDescent="0.25">
      <c r="A39" s="1" t="s">
        <v>19</v>
      </c>
    </row>
    <row r="40" spans="1:1" ht="16.5" customHeight="1" x14ac:dyDescent="0.25"/>
    <row r="41" spans="1:1" ht="16.5" customHeight="1" x14ac:dyDescent="0.25">
      <c r="A41" s="1" t="s">
        <v>20</v>
      </c>
    </row>
    <row r="42" spans="1:1" ht="16.5" customHeight="1" x14ac:dyDescent="0.25"/>
    <row r="43" spans="1:1" ht="16.5" customHeight="1" x14ac:dyDescent="0.25">
      <c r="A43" s="1" t="s">
        <v>21</v>
      </c>
    </row>
    <row r="44" spans="1:1" ht="16.5" customHeight="1" x14ac:dyDescent="0.25"/>
    <row r="45" spans="1:1" ht="16.5" customHeight="1" x14ac:dyDescent="0.25">
      <c r="A45" s="1" t="s">
        <v>22</v>
      </c>
    </row>
    <row r="46" spans="1:1" ht="16.5" customHeight="1" x14ac:dyDescent="0.25"/>
    <row r="47" spans="1:1" ht="16.5" customHeight="1" x14ac:dyDescent="0.25"/>
    <row r="48" spans="1:1" ht="16.5" customHeight="1" x14ac:dyDescent="0.25">
      <c r="A48" s="1" t="s">
        <v>23</v>
      </c>
    </row>
    <row r="49" spans="1:1" ht="16.5" customHeight="1" x14ac:dyDescent="0.25"/>
    <row r="50" spans="1:1" ht="16.5" customHeight="1" x14ac:dyDescent="0.25">
      <c r="A50" s="1" t="s">
        <v>24</v>
      </c>
    </row>
    <row r="51" spans="1:1" ht="16.5" customHeight="1" x14ac:dyDescent="0.25"/>
    <row r="52" spans="1:1" ht="16.5" customHeight="1" x14ac:dyDescent="0.25">
      <c r="A52" s="1" t="s">
        <v>25</v>
      </c>
    </row>
    <row r="53" spans="1:1" ht="16.5" customHeight="1" x14ac:dyDescent="0.25"/>
    <row r="54" spans="1:1" ht="16.5" customHeight="1" x14ac:dyDescent="0.25">
      <c r="A54" s="1" t="s">
        <v>26</v>
      </c>
    </row>
    <row r="55" spans="1:1" ht="16.5" customHeight="1" x14ac:dyDescent="0.25"/>
    <row r="56" spans="1:1" ht="16.5" customHeight="1" x14ac:dyDescent="0.25">
      <c r="A56" s="1" t="s">
        <v>27</v>
      </c>
    </row>
    <row r="57" spans="1:1" ht="16.5" customHeight="1" x14ac:dyDescent="0.25"/>
    <row r="58" spans="1:1" ht="16.5" customHeight="1" x14ac:dyDescent="0.25">
      <c r="A58" s="1" t="s">
        <v>28</v>
      </c>
    </row>
    <row r="59" spans="1:1" ht="16.5" customHeight="1" x14ac:dyDescent="0.25"/>
    <row r="60" spans="1:1" ht="16.5" customHeight="1" x14ac:dyDescent="0.25">
      <c r="A60" s="1" t="s">
        <v>29</v>
      </c>
    </row>
    <row r="61" spans="1:1" ht="16.5" customHeight="1" x14ac:dyDescent="0.25"/>
    <row r="62" spans="1:1" ht="16.5" customHeight="1" x14ac:dyDescent="0.25"/>
    <row r="63" spans="1:1" ht="16.5" customHeight="1" x14ac:dyDescent="0.25"/>
    <row r="64" spans="1:1" ht="16.5" customHeight="1" x14ac:dyDescent="0.25">
      <c r="A64" s="2" t="s">
        <v>30</v>
      </c>
    </row>
    <row r="65" ht="16.5" customHeight="1" x14ac:dyDescent="0.25"/>
    <row r="66" ht="16.5" customHeight="1" x14ac:dyDescent="0.25"/>
    <row r="67" ht="16.5" customHeight="1" x14ac:dyDescent="0.25"/>
    <row r="68" ht="16.5" customHeight="1" x14ac:dyDescent="0.25"/>
    <row r="69" ht="16.5" customHeight="1" x14ac:dyDescent="0.25"/>
    <row r="70" ht="16.5" customHeight="1" x14ac:dyDescent="0.25"/>
    <row r="71" ht="16.5" customHeight="1" x14ac:dyDescent="0.25"/>
    <row r="72" ht="16.5" customHeight="1" x14ac:dyDescent="0.25"/>
    <row r="73" ht="16.5" customHeight="1" x14ac:dyDescent="0.25"/>
    <row r="74" ht="16.5" customHeight="1" x14ac:dyDescent="0.25"/>
    <row r="75" ht="16.5" customHeight="1" x14ac:dyDescent="0.25"/>
    <row r="76" ht="16.5" customHeight="1" x14ac:dyDescent="0.25"/>
    <row r="77" ht="16.5" customHeight="1" x14ac:dyDescent="0.25"/>
    <row r="78" ht="16.5" customHeight="1" x14ac:dyDescent="0.25"/>
    <row r="79" ht="16.5" customHeight="1" x14ac:dyDescent="0.25"/>
    <row r="80" ht="16.5" customHeight="1" x14ac:dyDescent="0.25"/>
    <row r="81" ht="16.5" customHeight="1" x14ac:dyDescent="0.25"/>
    <row r="82" ht="16.5" customHeight="1" x14ac:dyDescent="0.25"/>
    <row r="83" ht="16.5" customHeight="1" x14ac:dyDescent="0.25"/>
    <row r="84" ht="16.5" customHeight="1" x14ac:dyDescent="0.25"/>
    <row r="85" ht="16.5" customHeight="1" x14ac:dyDescent="0.25"/>
    <row r="86" ht="16.5" customHeight="1" x14ac:dyDescent="0.25"/>
    <row r="87" ht="16.5" customHeight="1" x14ac:dyDescent="0.25"/>
    <row r="88" ht="16.5" customHeight="1" x14ac:dyDescent="0.25"/>
    <row r="89" ht="16.5" customHeight="1" x14ac:dyDescent="0.25"/>
    <row r="90" ht="16.5" customHeight="1" x14ac:dyDescent="0.25"/>
    <row r="91" ht="16.5" customHeight="1" x14ac:dyDescent="0.25"/>
    <row r="92" ht="16.5" customHeight="1" x14ac:dyDescent="0.25"/>
    <row r="93" ht="16.5" customHeight="1" x14ac:dyDescent="0.25"/>
    <row r="94" ht="16.5" customHeight="1" x14ac:dyDescent="0.25"/>
    <row r="95" ht="16.5" customHeight="1" x14ac:dyDescent="0.25"/>
    <row r="96" ht="16.5" customHeight="1" x14ac:dyDescent="0.25"/>
    <row r="97" ht="16.5" customHeight="1" x14ac:dyDescent="0.25"/>
    <row r="98" ht="16.5" customHeight="1" x14ac:dyDescent="0.25"/>
    <row r="99" ht="16.5" customHeight="1" x14ac:dyDescent="0.25"/>
    <row r="100" ht="16.5" customHeight="1" x14ac:dyDescent="0.25"/>
    <row r="101" ht="16.5" customHeight="1" x14ac:dyDescent="0.25"/>
    <row r="102" ht="16.5" customHeight="1" x14ac:dyDescent="0.25"/>
    <row r="103" ht="16.5" customHeight="1" x14ac:dyDescent="0.25"/>
    <row r="104" ht="16.5" customHeight="1" x14ac:dyDescent="0.25"/>
    <row r="105" ht="16.5" customHeight="1" x14ac:dyDescent="0.25"/>
    <row r="106" ht="16.5" customHeight="1" x14ac:dyDescent="0.25"/>
    <row r="107" ht="16.5" customHeight="1" x14ac:dyDescent="0.25"/>
    <row r="108" ht="16.5" customHeight="1" x14ac:dyDescent="0.25"/>
    <row r="109" ht="16.5" customHeight="1" x14ac:dyDescent="0.25"/>
    <row r="110" ht="16.5" customHeight="1" x14ac:dyDescent="0.25"/>
    <row r="111" ht="16.5" customHeight="1" x14ac:dyDescent="0.25"/>
    <row r="112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hyperlinks>
    <hyperlink ref="A64" r:id="rId1" xr:uid="{00000000-0004-0000-0000-000000000000}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topLeftCell="G1" workbookViewId="0">
      <selection activeCell="M3" sqref="M3"/>
    </sheetView>
  </sheetViews>
  <sheetFormatPr defaultColWidth="14.42578125" defaultRowHeight="15" customHeight="1" x14ac:dyDescent="0.25"/>
  <cols>
    <col min="1" max="1" width="14.28515625" customWidth="1"/>
    <col min="2" max="2" width="13.140625" bestFit="1" customWidth="1"/>
    <col min="3" max="3" width="13.85546875" customWidth="1"/>
    <col min="4" max="4" width="17.5703125" bestFit="1" customWidth="1"/>
    <col min="5" max="5" width="9.85546875" customWidth="1"/>
    <col min="6" max="6" width="13.5703125" style="6" bestFit="1" customWidth="1"/>
    <col min="7" max="7" width="19.7109375" customWidth="1"/>
    <col min="8" max="8" width="12.7109375" bestFit="1" customWidth="1"/>
    <col min="9" max="9" width="9" customWidth="1"/>
    <col min="10" max="10" width="10.5703125" bestFit="1" customWidth="1"/>
    <col min="11" max="11" width="10.140625" bestFit="1" customWidth="1"/>
    <col min="12" max="12" width="23.42578125" bestFit="1" customWidth="1"/>
    <col min="13" max="13" width="21.42578125" bestFit="1" customWidth="1"/>
    <col min="14" max="14" width="11.5703125" bestFit="1" customWidth="1"/>
    <col min="15" max="16" width="10" bestFit="1" customWidth="1"/>
    <col min="17" max="17" width="13.7109375" customWidth="1"/>
    <col min="18" max="18" width="16.140625" bestFit="1" customWidth="1"/>
    <col min="19" max="19" width="13.5703125" bestFit="1" customWidth="1"/>
    <col min="20" max="20" width="9" customWidth="1"/>
    <col min="21" max="21" width="18" bestFit="1" customWidth="1"/>
    <col min="22" max="24" width="13.5703125" bestFit="1" customWidth="1"/>
    <col min="25" max="25" width="9" customWidth="1"/>
  </cols>
  <sheetData>
    <row r="1" spans="1:26" ht="16.5" customHeight="1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4" t="s">
        <v>36</v>
      </c>
      <c r="G1" s="3" t="s">
        <v>37</v>
      </c>
      <c r="H1" s="3" t="s">
        <v>38</v>
      </c>
      <c r="J1" s="7" t="s">
        <v>191</v>
      </c>
      <c r="K1" s="7" t="s">
        <v>192</v>
      </c>
      <c r="L1" s="7" t="s">
        <v>193</v>
      </c>
      <c r="M1" s="8" t="s">
        <v>194</v>
      </c>
      <c r="N1" s="8" t="s">
        <v>195</v>
      </c>
      <c r="O1" s="8" t="s">
        <v>196</v>
      </c>
      <c r="P1" s="8" t="s">
        <v>197</v>
      </c>
      <c r="Q1" s="8" t="s">
        <v>198</v>
      </c>
      <c r="R1" s="8" t="s">
        <v>199</v>
      </c>
      <c r="S1" s="8" t="s">
        <v>200</v>
      </c>
      <c r="T1" s="8" t="s">
        <v>201</v>
      </c>
      <c r="U1" s="8" t="s">
        <v>202</v>
      </c>
      <c r="V1" s="8" t="s">
        <v>203</v>
      </c>
      <c r="W1" s="8" t="s">
        <v>204</v>
      </c>
      <c r="X1" s="8" t="s">
        <v>205</v>
      </c>
      <c r="Y1" s="8" t="s">
        <v>206</v>
      </c>
      <c r="Z1" s="8" t="s">
        <v>207</v>
      </c>
    </row>
    <row r="2" spans="1:26" ht="16.5" customHeight="1" x14ac:dyDescent="0.25">
      <c r="A2" s="1" t="s">
        <v>39</v>
      </c>
      <c r="B2" s="1" t="s">
        <v>40</v>
      </c>
      <c r="C2" s="1" t="s">
        <v>41</v>
      </c>
      <c r="D2" s="1" t="s">
        <v>42</v>
      </c>
      <c r="E2" s="1" t="s">
        <v>43</v>
      </c>
      <c r="F2" s="5">
        <v>400712</v>
      </c>
      <c r="G2" s="1">
        <v>4</v>
      </c>
      <c r="H2" s="1" t="s">
        <v>44</v>
      </c>
      <c r="J2" t="s">
        <v>171</v>
      </c>
      <c r="K2" t="s">
        <v>172</v>
      </c>
      <c r="L2" t="str">
        <f>CONCATENATE(J2,".",K2,"@","dame",".","com")</f>
        <v>Sade.Bassey@dame.com</v>
      </c>
      <c r="M2">
        <f>LEN(Table1[[#This Row],[Full Name]])</f>
        <v>11</v>
      </c>
      <c r="N2" t="str">
        <f>UPPER(Table1[[#This Row],[Department]])</f>
        <v>IT</v>
      </c>
      <c r="O2" t="str">
        <f>LOWER(Table1[[#This Row],[Department]])</f>
        <v>it</v>
      </c>
      <c r="P2" t="str">
        <f>PROPER(Table1[[#This Row],[Department]])</f>
        <v>It</v>
      </c>
      <c r="Q2" t="str">
        <f>TRIM(Table1[[#This Row],[Full Name]])</f>
        <v>Sade Bassey</v>
      </c>
      <c r="R2" s="6">
        <f>SUM(Table1[Salary])</f>
        <v>34862380</v>
      </c>
      <c r="S2" s="6">
        <f>AVERAGE(Table1[Salary])</f>
        <v>348623.8</v>
      </c>
      <c r="T2">
        <f>COUNTA(Table1[Employee ID])</f>
        <v>100</v>
      </c>
      <c r="U2" s="10">
        <f>SUMIF(Table1[Department],C101,Table1[Salary])</f>
        <v>6081869</v>
      </c>
      <c r="V2" s="6">
        <f>AVERAGEIF(Table1[Department],C98,Table1[Salary])</f>
        <v>353549.25</v>
      </c>
      <c r="W2" s="6">
        <f>SUMIFS(Table1[Salary],Table1[City],H98,Table1[Experience (Years)],G8)</f>
        <v>657646</v>
      </c>
      <c r="X2" s="6">
        <f>AVERAGEIFS(Table1[Salary],Table1[Gender],Table1[[#This Row],[Gender]],Table1[City],'SAMSON ASSIGNMENT SOLVED'!H98)</f>
        <v>315870.8</v>
      </c>
      <c r="Y2">
        <f>COUNTIFS(Table1[Gender],E90,Table1[City],H13)</f>
        <v>15</v>
      </c>
      <c r="Z2" s="11">
        <f>_xlfn.MAXIFS(Table1[Salary],Table1[Department],'SAMSON ASSIGNMENT SOLVED'!C8)</f>
        <v>493395</v>
      </c>
    </row>
    <row r="3" spans="1:26" ht="16.5" customHeight="1" x14ac:dyDescent="0.25">
      <c r="A3" s="1" t="s">
        <v>45</v>
      </c>
      <c r="B3" s="1" t="s">
        <v>40</v>
      </c>
      <c r="C3" s="1" t="s">
        <v>46</v>
      </c>
      <c r="D3" s="1" t="s">
        <v>47</v>
      </c>
      <c r="E3" s="1" t="s">
        <v>48</v>
      </c>
      <c r="F3" s="5">
        <v>200754</v>
      </c>
      <c r="G3" s="1">
        <v>10</v>
      </c>
      <c r="H3" s="1" t="s">
        <v>49</v>
      </c>
      <c r="J3" t="s">
        <v>171</v>
      </c>
      <c r="K3" t="s">
        <v>172</v>
      </c>
      <c r="L3" t="str">
        <f t="shared" ref="L3:L66" si="0">CONCATENATE(J3,".",K3,"@","dame",".","com")</f>
        <v>Sade.Bassey@dame.com</v>
      </c>
      <c r="M3">
        <f>LEN(Table1[[#This Row],[Full Name]])</f>
        <v>11</v>
      </c>
      <c r="N3" t="str">
        <f>UPPER(Table1[[#This Row],[Department]])</f>
        <v>MARKETING</v>
      </c>
      <c r="O3" t="str">
        <f>LOWER(Table1[[#This Row],[Department]])</f>
        <v>marketing</v>
      </c>
      <c r="P3" t="str">
        <f>PROPER(Table1[[#This Row],[Department]])</f>
        <v>Marketing</v>
      </c>
      <c r="Q3" t="str">
        <f>TRIM(Table1[[#This Row],[Full Name]])</f>
        <v>Sade Bassey</v>
      </c>
      <c r="U3" s="9"/>
    </row>
    <row r="4" spans="1:26" ht="16.5" customHeight="1" x14ac:dyDescent="0.25">
      <c r="A4" s="1" t="s">
        <v>50</v>
      </c>
      <c r="B4" s="1" t="s">
        <v>51</v>
      </c>
      <c r="C4" s="1" t="s">
        <v>52</v>
      </c>
      <c r="D4" s="1" t="s">
        <v>47</v>
      </c>
      <c r="E4" s="1" t="s">
        <v>43</v>
      </c>
      <c r="F4" s="5">
        <v>457735</v>
      </c>
      <c r="G4" s="1">
        <v>3</v>
      </c>
      <c r="H4" s="1" t="s">
        <v>44</v>
      </c>
      <c r="J4" t="s">
        <v>173</v>
      </c>
      <c r="K4" t="s">
        <v>174</v>
      </c>
      <c r="L4" t="str">
        <f t="shared" si="0"/>
        <v>Faith.Udo@dame.com</v>
      </c>
      <c r="M4">
        <f>LEN(Table1[[#This Row],[Full Name]])</f>
        <v>9</v>
      </c>
      <c r="N4" t="str">
        <f>UPPER(Table1[[#This Row],[Department]])</f>
        <v>SALES</v>
      </c>
      <c r="O4" t="str">
        <f>LOWER(Table1[[#This Row],[Department]])</f>
        <v>sales</v>
      </c>
      <c r="P4" t="str">
        <f>PROPER(Table1[[#This Row],[Department]])</f>
        <v>Sales</v>
      </c>
      <c r="Q4" t="str">
        <f>TRIM(Table1[[#This Row],[Full Name]])</f>
        <v>Faith Udo</v>
      </c>
    </row>
    <row r="5" spans="1:26" ht="16.5" customHeight="1" x14ac:dyDescent="0.25">
      <c r="A5" s="1" t="s">
        <v>53</v>
      </c>
      <c r="B5" s="1" t="s">
        <v>40</v>
      </c>
      <c r="C5" s="1" t="s">
        <v>54</v>
      </c>
      <c r="D5" s="1" t="s">
        <v>55</v>
      </c>
      <c r="E5" s="1" t="s">
        <v>43</v>
      </c>
      <c r="F5" s="5">
        <v>337091</v>
      </c>
      <c r="G5" s="1">
        <v>2</v>
      </c>
      <c r="H5" s="1" t="s">
        <v>56</v>
      </c>
      <c r="J5" t="s">
        <v>171</v>
      </c>
      <c r="K5" t="s">
        <v>172</v>
      </c>
      <c r="L5" t="str">
        <f t="shared" si="0"/>
        <v>Sade.Bassey@dame.com</v>
      </c>
      <c r="M5">
        <f>LEN(Table1[[#This Row],[Full Name]])</f>
        <v>11</v>
      </c>
      <c r="N5" t="str">
        <f>UPPER(Table1[[#This Row],[Department]])</f>
        <v>FINANCE</v>
      </c>
      <c r="O5" t="str">
        <f>LOWER(Table1[[#This Row],[Department]])</f>
        <v>finance</v>
      </c>
      <c r="P5" t="str">
        <f>PROPER(Table1[[#This Row],[Department]])</f>
        <v>Finance</v>
      </c>
      <c r="Q5" t="str">
        <f>TRIM(Table1[[#This Row],[Full Name]])</f>
        <v>Sade Bassey</v>
      </c>
    </row>
    <row r="6" spans="1:26" ht="16.5" customHeight="1" x14ac:dyDescent="0.25">
      <c r="A6" s="1" t="s">
        <v>57</v>
      </c>
      <c r="B6" s="1" t="s">
        <v>58</v>
      </c>
      <c r="C6" s="1" t="s">
        <v>41</v>
      </c>
      <c r="D6" s="1" t="s">
        <v>47</v>
      </c>
      <c r="E6" s="1" t="s">
        <v>48</v>
      </c>
      <c r="F6" s="5">
        <v>436492</v>
      </c>
      <c r="G6" s="1">
        <v>5</v>
      </c>
      <c r="H6" s="1" t="s">
        <v>59</v>
      </c>
      <c r="J6" t="s">
        <v>175</v>
      </c>
      <c r="K6" t="s">
        <v>176</v>
      </c>
      <c r="L6" t="str">
        <f t="shared" si="0"/>
        <v>Ibrahim.Musa@dame.com</v>
      </c>
      <c r="M6">
        <f>LEN(Table1[[#This Row],[Full Name]])</f>
        <v>12</v>
      </c>
      <c r="N6" t="str">
        <f>UPPER(Table1[[#This Row],[Department]])</f>
        <v>IT</v>
      </c>
      <c r="O6" t="str">
        <f>LOWER(Table1[[#This Row],[Department]])</f>
        <v>it</v>
      </c>
      <c r="P6" t="str">
        <f>PROPER(Table1[[#This Row],[Department]])</f>
        <v>It</v>
      </c>
      <c r="Q6" t="str">
        <f>TRIM(Table1[[#This Row],[Full Name]])</f>
        <v>Ibrahim Musa</v>
      </c>
    </row>
    <row r="7" spans="1:26" ht="16.5" customHeight="1" x14ac:dyDescent="0.25">
      <c r="A7" s="1" t="s">
        <v>60</v>
      </c>
      <c r="B7" s="1" t="s">
        <v>61</v>
      </c>
      <c r="C7" s="1" t="s">
        <v>41</v>
      </c>
      <c r="D7" s="1" t="s">
        <v>62</v>
      </c>
      <c r="E7" s="1" t="s">
        <v>43</v>
      </c>
      <c r="F7" s="5">
        <v>404484</v>
      </c>
      <c r="G7" s="1">
        <v>10</v>
      </c>
      <c r="H7" s="1" t="s">
        <v>56</v>
      </c>
      <c r="J7" t="s">
        <v>177</v>
      </c>
      <c r="K7" t="s">
        <v>178</v>
      </c>
      <c r="L7" t="str">
        <f t="shared" si="0"/>
        <v>Tunde.Salisu@dame.com</v>
      </c>
      <c r="M7">
        <f>LEN(Table1[[#This Row],[Full Name]])</f>
        <v>12</v>
      </c>
      <c r="N7" t="str">
        <f>UPPER(Table1[[#This Row],[Department]])</f>
        <v>IT</v>
      </c>
      <c r="O7" t="str">
        <f>LOWER(Table1[[#This Row],[Department]])</f>
        <v>it</v>
      </c>
      <c r="P7" t="str">
        <f>PROPER(Table1[[#This Row],[Department]])</f>
        <v>It</v>
      </c>
      <c r="Q7" t="str">
        <f>TRIM(Table1[[#This Row],[Full Name]])</f>
        <v>Tunde Salisu</v>
      </c>
    </row>
    <row r="8" spans="1:26" ht="16.5" customHeight="1" x14ac:dyDescent="0.25">
      <c r="A8" s="1" t="s">
        <v>63</v>
      </c>
      <c r="B8" s="1" t="s">
        <v>64</v>
      </c>
      <c r="C8" s="1" t="s">
        <v>41</v>
      </c>
      <c r="D8" s="1" t="s">
        <v>42</v>
      </c>
      <c r="E8" s="1" t="s">
        <v>43</v>
      </c>
      <c r="F8" s="5">
        <v>450806</v>
      </c>
      <c r="G8" s="1">
        <v>3</v>
      </c>
      <c r="H8" s="1" t="s">
        <v>49</v>
      </c>
      <c r="J8" t="s">
        <v>179</v>
      </c>
      <c r="K8" t="s">
        <v>180</v>
      </c>
      <c r="L8" t="str">
        <f t="shared" si="0"/>
        <v>James.Obi@dame.com</v>
      </c>
      <c r="M8">
        <f>LEN(Table1[[#This Row],[Full Name]])</f>
        <v>9</v>
      </c>
      <c r="N8" t="str">
        <f>UPPER(Table1[[#This Row],[Department]])</f>
        <v>IT</v>
      </c>
      <c r="O8" t="str">
        <f>LOWER(Table1[[#This Row],[Department]])</f>
        <v>it</v>
      </c>
      <c r="P8" t="str">
        <f>PROPER(Table1[[#This Row],[Department]])</f>
        <v>It</v>
      </c>
      <c r="Q8" t="str">
        <f>TRIM(Table1[[#This Row],[Full Name]])</f>
        <v>James Obi</v>
      </c>
    </row>
    <row r="9" spans="1:26" ht="16.5" customHeight="1" x14ac:dyDescent="0.25">
      <c r="A9" s="1" t="s">
        <v>65</v>
      </c>
      <c r="B9" s="1" t="s">
        <v>58</v>
      </c>
      <c r="C9" s="1" t="s">
        <v>54</v>
      </c>
      <c r="D9" s="1" t="s">
        <v>47</v>
      </c>
      <c r="E9" s="1" t="s">
        <v>43</v>
      </c>
      <c r="F9" s="5">
        <v>307961</v>
      </c>
      <c r="G9" s="1">
        <v>2</v>
      </c>
      <c r="H9" s="1" t="s">
        <v>66</v>
      </c>
      <c r="J9" t="s">
        <v>175</v>
      </c>
      <c r="K9" t="s">
        <v>176</v>
      </c>
      <c r="L9" t="str">
        <f t="shared" si="0"/>
        <v>Ibrahim.Musa@dame.com</v>
      </c>
      <c r="M9">
        <f>LEN(Table1[[#This Row],[Full Name]])</f>
        <v>12</v>
      </c>
      <c r="N9" t="str">
        <f>UPPER(Table1[[#This Row],[Department]])</f>
        <v>FINANCE</v>
      </c>
      <c r="O9" t="str">
        <f>LOWER(Table1[[#This Row],[Department]])</f>
        <v>finance</v>
      </c>
      <c r="P9" t="str">
        <f>PROPER(Table1[[#This Row],[Department]])</f>
        <v>Finance</v>
      </c>
      <c r="Q9" t="str">
        <f>TRIM(Table1[[#This Row],[Full Name]])</f>
        <v>Ibrahim Musa</v>
      </c>
    </row>
    <row r="10" spans="1:26" ht="16.5" customHeight="1" x14ac:dyDescent="0.25">
      <c r="A10" s="1" t="s">
        <v>67</v>
      </c>
      <c r="B10" s="1" t="s">
        <v>51</v>
      </c>
      <c r="C10" s="1" t="s">
        <v>52</v>
      </c>
      <c r="D10" s="1" t="s">
        <v>68</v>
      </c>
      <c r="E10" s="1" t="s">
        <v>48</v>
      </c>
      <c r="F10" s="5">
        <v>246421</v>
      </c>
      <c r="G10" s="1">
        <v>6</v>
      </c>
      <c r="H10" s="1" t="s">
        <v>59</v>
      </c>
      <c r="J10" t="s">
        <v>173</v>
      </c>
      <c r="K10" t="s">
        <v>174</v>
      </c>
      <c r="L10" t="str">
        <f t="shared" si="0"/>
        <v>Faith.Udo@dame.com</v>
      </c>
      <c r="M10">
        <f>LEN(Table1[[#This Row],[Full Name]])</f>
        <v>9</v>
      </c>
      <c r="N10" t="str">
        <f>UPPER(Table1[[#This Row],[Department]])</f>
        <v>SALES</v>
      </c>
      <c r="O10" t="str">
        <f>LOWER(Table1[[#This Row],[Department]])</f>
        <v>sales</v>
      </c>
      <c r="P10" t="str">
        <f>PROPER(Table1[[#This Row],[Department]])</f>
        <v>Sales</v>
      </c>
      <c r="Q10" t="str">
        <f>TRIM(Table1[[#This Row],[Full Name]])</f>
        <v>Faith Udo</v>
      </c>
    </row>
    <row r="11" spans="1:26" ht="16.5" customHeight="1" x14ac:dyDescent="0.25">
      <c r="A11" s="1" t="s">
        <v>69</v>
      </c>
      <c r="B11" s="1" t="s">
        <v>70</v>
      </c>
      <c r="C11" s="1" t="s">
        <v>71</v>
      </c>
      <c r="D11" s="1" t="s">
        <v>68</v>
      </c>
      <c r="E11" s="1" t="s">
        <v>48</v>
      </c>
      <c r="F11" s="5">
        <v>403684</v>
      </c>
      <c r="G11" s="1">
        <v>3</v>
      </c>
      <c r="H11" s="1" t="s">
        <v>49</v>
      </c>
      <c r="J11" t="s">
        <v>181</v>
      </c>
      <c r="K11" t="s">
        <v>182</v>
      </c>
      <c r="L11" t="str">
        <f t="shared" si="0"/>
        <v>Tope.Ade@dame.com</v>
      </c>
      <c r="M11">
        <f>LEN(Table1[[#This Row],[Full Name]])</f>
        <v>8</v>
      </c>
      <c r="N11" t="str">
        <f>UPPER(Table1[[#This Row],[Department]])</f>
        <v>HR</v>
      </c>
      <c r="O11" t="str">
        <f>LOWER(Table1[[#This Row],[Department]])</f>
        <v>hr</v>
      </c>
      <c r="P11" t="str">
        <f>PROPER(Table1[[#This Row],[Department]])</f>
        <v>Hr</v>
      </c>
      <c r="Q11" t="str">
        <f>TRIM(Table1[[#This Row],[Full Name]])</f>
        <v>Tope Ade</v>
      </c>
    </row>
    <row r="12" spans="1:26" ht="16.5" customHeight="1" x14ac:dyDescent="0.25">
      <c r="A12" s="1" t="s">
        <v>72</v>
      </c>
      <c r="B12" s="1" t="s">
        <v>64</v>
      </c>
      <c r="C12" s="1" t="s">
        <v>46</v>
      </c>
      <c r="D12" s="1" t="s">
        <v>73</v>
      </c>
      <c r="E12" s="1" t="s">
        <v>43</v>
      </c>
      <c r="F12" s="5">
        <v>317995</v>
      </c>
      <c r="G12" s="1">
        <v>9</v>
      </c>
      <c r="H12" s="1" t="s">
        <v>59</v>
      </c>
      <c r="J12" t="s">
        <v>179</v>
      </c>
      <c r="K12" t="s">
        <v>180</v>
      </c>
      <c r="L12" t="str">
        <f t="shared" si="0"/>
        <v>James.Obi@dame.com</v>
      </c>
      <c r="M12">
        <f>LEN(Table1[[#This Row],[Full Name]])</f>
        <v>9</v>
      </c>
      <c r="N12" t="str">
        <f>UPPER(Table1[[#This Row],[Department]])</f>
        <v>MARKETING</v>
      </c>
      <c r="O12" t="str">
        <f>LOWER(Table1[[#This Row],[Department]])</f>
        <v>marketing</v>
      </c>
      <c r="P12" t="str">
        <f>PROPER(Table1[[#This Row],[Department]])</f>
        <v>Marketing</v>
      </c>
      <c r="Q12" t="str">
        <f>TRIM(Table1[[#This Row],[Full Name]])</f>
        <v>James Obi</v>
      </c>
    </row>
    <row r="13" spans="1:26" ht="16.5" customHeight="1" x14ac:dyDescent="0.25">
      <c r="A13" s="1" t="s">
        <v>74</v>
      </c>
      <c r="B13" s="1" t="s">
        <v>75</v>
      </c>
      <c r="C13" s="1" t="s">
        <v>71</v>
      </c>
      <c r="D13" s="1" t="s">
        <v>76</v>
      </c>
      <c r="E13" s="1" t="s">
        <v>43</v>
      </c>
      <c r="F13" s="5">
        <v>242669</v>
      </c>
      <c r="G13" s="1">
        <v>6</v>
      </c>
      <c r="H13" s="1" t="s">
        <v>59</v>
      </c>
      <c r="J13" t="s">
        <v>183</v>
      </c>
      <c r="K13" t="s">
        <v>184</v>
      </c>
      <c r="L13" t="str">
        <f t="shared" si="0"/>
        <v>Chika.Umeh@dame.com</v>
      </c>
      <c r="M13">
        <f>LEN(Table1[[#This Row],[Full Name]])</f>
        <v>10</v>
      </c>
      <c r="N13" t="str">
        <f>UPPER(Table1[[#This Row],[Department]])</f>
        <v>HR</v>
      </c>
      <c r="O13" t="str">
        <f>LOWER(Table1[[#This Row],[Department]])</f>
        <v>hr</v>
      </c>
      <c r="P13" t="str">
        <f>PROPER(Table1[[#This Row],[Department]])</f>
        <v>Hr</v>
      </c>
      <c r="Q13" t="str">
        <f>TRIM(Table1[[#This Row],[Full Name]])</f>
        <v>Chika Umeh</v>
      </c>
    </row>
    <row r="14" spans="1:26" ht="16.5" customHeight="1" x14ac:dyDescent="0.25">
      <c r="A14" s="1" t="s">
        <v>77</v>
      </c>
      <c r="B14" s="1" t="s">
        <v>75</v>
      </c>
      <c r="C14" s="1" t="s">
        <v>71</v>
      </c>
      <c r="D14" s="1" t="s">
        <v>55</v>
      </c>
      <c r="E14" s="1" t="s">
        <v>48</v>
      </c>
      <c r="F14" s="5">
        <v>364238</v>
      </c>
      <c r="G14" s="1">
        <v>7</v>
      </c>
      <c r="H14" s="1" t="s">
        <v>56</v>
      </c>
      <c r="J14" t="s">
        <v>183</v>
      </c>
      <c r="K14" t="s">
        <v>184</v>
      </c>
      <c r="L14" t="str">
        <f t="shared" si="0"/>
        <v>Chika.Umeh@dame.com</v>
      </c>
      <c r="M14">
        <f>LEN(Table1[[#This Row],[Full Name]])</f>
        <v>10</v>
      </c>
      <c r="N14" t="str">
        <f>UPPER(Table1[[#This Row],[Department]])</f>
        <v>HR</v>
      </c>
      <c r="O14" t="str">
        <f>LOWER(Table1[[#This Row],[Department]])</f>
        <v>hr</v>
      </c>
      <c r="P14" t="str">
        <f>PROPER(Table1[[#This Row],[Department]])</f>
        <v>Hr</v>
      </c>
      <c r="Q14" t="str">
        <f>TRIM(Table1[[#This Row],[Full Name]])</f>
        <v>Chika Umeh</v>
      </c>
    </row>
    <row r="15" spans="1:26" ht="16.5" customHeight="1" x14ac:dyDescent="0.25">
      <c r="A15" s="1" t="s">
        <v>78</v>
      </c>
      <c r="B15" s="1" t="s">
        <v>40</v>
      </c>
      <c r="C15" s="1" t="s">
        <v>54</v>
      </c>
      <c r="D15" s="1" t="s">
        <v>79</v>
      </c>
      <c r="E15" s="1" t="s">
        <v>43</v>
      </c>
      <c r="F15" s="5">
        <v>215724</v>
      </c>
      <c r="G15" s="1">
        <v>9</v>
      </c>
      <c r="H15" s="1" t="s">
        <v>66</v>
      </c>
      <c r="J15" t="s">
        <v>171</v>
      </c>
      <c r="K15" t="s">
        <v>172</v>
      </c>
      <c r="L15" t="str">
        <f t="shared" si="0"/>
        <v>Sade.Bassey@dame.com</v>
      </c>
      <c r="M15">
        <f>LEN(Table1[[#This Row],[Full Name]])</f>
        <v>11</v>
      </c>
      <c r="N15" t="str">
        <f>UPPER(Table1[[#This Row],[Department]])</f>
        <v>FINANCE</v>
      </c>
      <c r="O15" t="str">
        <f>LOWER(Table1[[#This Row],[Department]])</f>
        <v>finance</v>
      </c>
      <c r="P15" t="str">
        <f>PROPER(Table1[[#This Row],[Department]])</f>
        <v>Finance</v>
      </c>
      <c r="Q15" t="str">
        <f>TRIM(Table1[[#This Row],[Full Name]])</f>
        <v>Sade Bassey</v>
      </c>
    </row>
    <row r="16" spans="1:26" ht="16.5" customHeight="1" x14ac:dyDescent="0.25">
      <c r="A16" s="1" t="s">
        <v>80</v>
      </c>
      <c r="B16" s="1" t="s">
        <v>75</v>
      </c>
      <c r="C16" s="1" t="s">
        <v>46</v>
      </c>
      <c r="D16" s="1" t="s">
        <v>76</v>
      </c>
      <c r="E16" s="1" t="s">
        <v>48</v>
      </c>
      <c r="F16" s="5">
        <v>301679</v>
      </c>
      <c r="G16" s="1">
        <v>10</v>
      </c>
      <c r="H16" s="1" t="s">
        <v>49</v>
      </c>
      <c r="J16" t="s">
        <v>183</v>
      </c>
      <c r="K16" t="s">
        <v>184</v>
      </c>
      <c r="L16" t="str">
        <f t="shared" si="0"/>
        <v>Chika.Umeh@dame.com</v>
      </c>
      <c r="M16">
        <f>LEN(Table1[[#This Row],[Full Name]])</f>
        <v>10</v>
      </c>
      <c r="N16" t="str">
        <f>UPPER(Table1[[#This Row],[Department]])</f>
        <v>MARKETING</v>
      </c>
      <c r="O16" t="str">
        <f>LOWER(Table1[[#This Row],[Department]])</f>
        <v>marketing</v>
      </c>
      <c r="P16" t="str">
        <f>PROPER(Table1[[#This Row],[Department]])</f>
        <v>Marketing</v>
      </c>
      <c r="Q16" t="str">
        <f>TRIM(Table1[[#This Row],[Full Name]])</f>
        <v>Chika Umeh</v>
      </c>
    </row>
    <row r="17" spans="1:17" ht="16.5" customHeight="1" x14ac:dyDescent="0.25">
      <c r="A17" s="1" t="s">
        <v>81</v>
      </c>
      <c r="B17" s="1" t="s">
        <v>58</v>
      </c>
      <c r="C17" s="1" t="s">
        <v>41</v>
      </c>
      <c r="D17" s="1" t="s">
        <v>79</v>
      </c>
      <c r="E17" s="1" t="s">
        <v>48</v>
      </c>
      <c r="F17" s="5">
        <v>243689</v>
      </c>
      <c r="G17" s="1">
        <v>3</v>
      </c>
      <c r="H17" s="1" t="s">
        <v>59</v>
      </c>
      <c r="J17" t="s">
        <v>175</v>
      </c>
      <c r="K17" t="s">
        <v>176</v>
      </c>
      <c r="L17" t="str">
        <f t="shared" si="0"/>
        <v>Ibrahim.Musa@dame.com</v>
      </c>
      <c r="M17">
        <f>LEN(Table1[[#This Row],[Full Name]])</f>
        <v>12</v>
      </c>
      <c r="N17" t="str">
        <f>UPPER(Table1[[#This Row],[Department]])</f>
        <v>IT</v>
      </c>
      <c r="O17" t="str">
        <f>LOWER(Table1[[#This Row],[Department]])</f>
        <v>it</v>
      </c>
      <c r="P17" t="str">
        <f>PROPER(Table1[[#This Row],[Department]])</f>
        <v>It</v>
      </c>
      <c r="Q17" t="str">
        <f>TRIM(Table1[[#This Row],[Full Name]])</f>
        <v>Ibrahim Musa</v>
      </c>
    </row>
    <row r="18" spans="1:17" ht="16.5" customHeight="1" x14ac:dyDescent="0.25">
      <c r="A18" s="1" t="s">
        <v>82</v>
      </c>
      <c r="B18" s="1" t="s">
        <v>61</v>
      </c>
      <c r="C18" s="1" t="s">
        <v>41</v>
      </c>
      <c r="D18" s="1" t="s">
        <v>42</v>
      </c>
      <c r="E18" s="1" t="s">
        <v>43</v>
      </c>
      <c r="F18" s="5">
        <v>465805</v>
      </c>
      <c r="G18" s="1">
        <v>10</v>
      </c>
      <c r="H18" s="1" t="s">
        <v>49</v>
      </c>
      <c r="J18" t="s">
        <v>177</v>
      </c>
      <c r="K18" t="s">
        <v>178</v>
      </c>
      <c r="L18" t="str">
        <f t="shared" si="0"/>
        <v>Tunde.Salisu@dame.com</v>
      </c>
      <c r="M18">
        <f>LEN(Table1[[#This Row],[Full Name]])</f>
        <v>12</v>
      </c>
      <c r="N18" t="str">
        <f>UPPER(Table1[[#This Row],[Department]])</f>
        <v>IT</v>
      </c>
      <c r="O18" t="str">
        <f>LOWER(Table1[[#This Row],[Department]])</f>
        <v>it</v>
      </c>
      <c r="P18" t="str">
        <f>PROPER(Table1[[#This Row],[Department]])</f>
        <v>It</v>
      </c>
      <c r="Q18" t="str">
        <f>TRIM(Table1[[#This Row],[Full Name]])</f>
        <v>Tunde Salisu</v>
      </c>
    </row>
    <row r="19" spans="1:17" ht="16.5" customHeight="1" x14ac:dyDescent="0.25">
      <c r="A19" s="1" t="s">
        <v>83</v>
      </c>
      <c r="B19" s="1" t="s">
        <v>75</v>
      </c>
      <c r="C19" s="1" t="s">
        <v>46</v>
      </c>
      <c r="D19" s="1" t="s">
        <v>47</v>
      </c>
      <c r="E19" s="1" t="s">
        <v>48</v>
      </c>
      <c r="F19" s="5">
        <v>414186</v>
      </c>
      <c r="G19" s="1">
        <v>7</v>
      </c>
      <c r="H19" s="1" t="s">
        <v>66</v>
      </c>
      <c r="J19" t="s">
        <v>183</v>
      </c>
      <c r="K19" t="s">
        <v>184</v>
      </c>
      <c r="L19" t="str">
        <f t="shared" si="0"/>
        <v>Chika.Umeh@dame.com</v>
      </c>
      <c r="M19">
        <f>LEN(Table1[[#This Row],[Full Name]])</f>
        <v>10</v>
      </c>
      <c r="N19" t="str">
        <f>UPPER(Table1[[#This Row],[Department]])</f>
        <v>MARKETING</v>
      </c>
      <c r="O19" t="str">
        <f>LOWER(Table1[[#This Row],[Department]])</f>
        <v>marketing</v>
      </c>
      <c r="P19" t="str">
        <f>PROPER(Table1[[#This Row],[Department]])</f>
        <v>Marketing</v>
      </c>
      <c r="Q19" t="str">
        <f>TRIM(Table1[[#This Row],[Full Name]])</f>
        <v>Chika Umeh</v>
      </c>
    </row>
    <row r="20" spans="1:17" ht="16.5" customHeight="1" x14ac:dyDescent="0.25">
      <c r="A20" s="1" t="s">
        <v>84</v>
      </c>
      <c r="B20" s="1" t="s">
        <v>85</v>
      </c>
      <c r="C20" s="1" t="s">
        <v>71</v>
      </c>
      <c r="D20" s="1" t="s">
        <v>47</v>
      </c>
      <c r="E20" s="1" t="s">
        <v>48</v>
      </c>
      <c r="F20" s="5">
        <v>282557</v>
      </c>
      <c r="G20" s="1">
        <v>9</v>
      </c>
      <c r="H20" s="1" t="s">
        <v>56</v>
      </c>
      <c r="J20" t="s">
        <v>185</v>
      </c>
      <c r="K20" t="s">
        <v>186</v>
      </c>
      <c r="L20" t="str">
        <f t="shared" si="0"/>
        <v>Maria.Okafor@dame.com</v>
      </c>
      <c r="M20">
        <f>LEN(Table1[[#This Row],[Full Name]])</f>
        <v>12</v>
      </c>
      <c r="N20" t="str">
        <f>UPPER(Table1[[#This Row],[Department]])</f>
        <v>HR</v>
      </c>
      <c r="O20" t="str">
        <f>LOWER(Table1[[#This Row],[Department]])</f>
        <v>hr</v>
      </c>
      <c r="P20" t="str">
        <f>PROPER(Table1[[#This Row],[Department]])</f>
        <v>Hr</v>
      </c>
      <c r="Q20" t="str">
        <f>TRIM(Table1[[#This Row],[Full Name]])</f>
        <v>Maria Okafor</v>
      </c>
    </row>
    <row r="21" spans="1:17" ht="16.5" customHeight="1" x14ac:dyDescent="0.25">
      <c r="A21" s="1" t="s">
        <v>86</v>
      </c>
      <c r="B21" s="1" t="s">
        <v>64</v>
      </c>
      <c r="C21" s="1" t="s">
        <v>71</v>
      </c>
      <c r="D21" s="1" t="s">
        <v>87</v>
      </c>
      <c r="E21" s="1" t="s">
        <v>43</v>
      </c>
      <c r="F21" s="5">
        <v>330692</v>
      </c>
      <c r="G21" s="1">
        <v>10</v>
      </c>
      <c r="H21" s="1" t="s">
        <v>59</v>
      </c>
      <c r="J21" t="s">
        <v>179</v>
      </c>
      <c r="K21" t="s">
        <v>180</v>
      </c>
      <c r="L21" t="str">
        <f t="shared" si="0"/>
        <v>James.Obi@dame.com</v>
      </c>
      <c r="M21">
        <f>LEN(Table1[[#This Row],[Full Name]])</f>
        <v>9</v>
      </c>
      <c r="N21" t="str">
        <f>UPPER(Table1[[#This Row],[Department]])</f>
        <v>HR</v>
      </c>
      <c r="O21" t="str">
        <f>LOWER(Table1[[#This Row],[Department]])</f>
        <v>hr</v>
      </c>
      <c r="P21" t="str">
        <f>PROPER(Table1[[#This Row],[Department]])</f>
        <v>Hr</v>
      </c>
      <c r="Q21" t="str">
        <f>TRIM(Table1[[#This Row],[Full Name]])</f>
        <v>James Obi</v>
      </c>
    </row>
    <row r="22" spans="1:17" ht="16.5" customHeight="1" x14ac:dyDescent="0.25">
      <c r="A22" s="1" t="s">
        <v>88</v>
      </c>
      <c r="B22" s="1" t="s">
        <v>75</v>
      </c>
      <c r="C22" s="1" t="s">
        <v>54</v>
      </c>
      <c r="D22" s="1" t="s">
        <v>55</v>
      </c>
      <c r="E22" s="1" t="s">
        <v>43</v>
      </c>
      <c r="F22" s="5">
        <v>334719</v>
      </c>
      <c r="G22" s="1">
        <v>4</v>
      </c>
      <c r="H22" s="1" t="s">
        <v>44</v>
      </c>
      <c r="J22" t="s">
        <v>183</v>
      </c>
      <c r="K22" t="s">
        <v>184</v>
      </c>
      <c r="L22" t="str">
        <f t="shared" si="0"/>
        <v>Chika.Umeh@dame.com</v>
      </c>
      <c r="M22">
        <f>LEN(Table1[[#This Row],[Full Name]])</f>
        <v>10</v>
      </c>
      <c r="N22" t="str">
        <f>UPPER(Table1[[#This Row],[Department]])</f>
        <v>FINANCE</v>
      </c>
      <c r="O22" t="str">
        <f>LOWER(Table1[[#This Row],[Department]])</f>
        <v>finance</v>
      </c>
      <c r="P22" t="str">
        <f>PROPER(Table1[[#This Row],[Department]])</f>
        <v>Finance</v>
      </c>
      <c r="Q22" t="str">
        <f>TRIM(Table1[[#This Row],[Full Name]])</f>
        <v>Chika Umeh</v>
      </c>
    </row>
    <row r="23" spans="1:17" ht="16.5" customHeight="1" x14ac:dyDescent="0.25">
      <c r="A23" s="1" t="s">
        <v>89</v>
      </c>
      <c r="B23" s="1" t="s">
        <v>40</v>
      </c>
      <c r="C23" s="1" t="s">
        <v>52</v>
      </c>
      <c r="D23" s="1" t="s">
        <v>90</v>
      </c>
      <c r="E23" s="1" t="s">
        <v>48</v>
      </c>
      <c r="F23" s="5">
        <v>237212</v>
      </c>
      <c r="G23" s="1">
        <v>5</v>
      </c>
      <c r="H23" s="1" t="s">
        <v>59</v>
      </c>
      <c r="J23" t="s">
        <v>171</v>
      </c>
      <c r="K23" t="s">
        <v>172</v>
      </c>
      <c r="L23" t="str">
        <f t="shared" si="0"/>
        <v>Sade.Bassey@dame.com</v>
      </c>
      <c r="M23">
        <f>LEN(Table1[[#This Row],[Full Name]])</f>
        <v>11</v>
      </c>
      <c r="N23" t="str">
        <f>UPPER(Table1[[#This Row],[Department]])</f>
        <v>SALES</v>
      </c>
      <c r="O23" t="str">
        <f>LOWER(Table1[[#This Row],[Department]])</f>
        <v>sales</v>
      </c>
      <c r="P23" t="str">
        <f>PROPER(Table1[[#This Row],[Department]])</f>
        <v>Sales</v>
      </c>
      <c r="Q23" t="str">
        <f>TRIM(Table1[[#This Row],[Full Name]])</f>
        <v>Sade Bassey</v>
      </c>
    </row>
    <row r="24" spans="1:17" ht="16.5" customHeight="1" x14ac:dyDescent="0.25">
      <c r="A24" s="1" t="s">
        <v>91</v>
      </c>
      <c r="B24" s="1" t="s">
        <v>51</v>
      </c>
      <c r="C24" s="1" t="s">
        <v>54</v>
      </c>
      <c r="D24" s="1" t="s">
        <v>62</v>
      </c>
      <c r="E24" s="1" t="s">
        <v>48</v>
      </c>
      <c r="F24" s="5">
        <v>382250</v>
      </c>
      <c r="G24" s="1">
        <v>1</v>
      </c>
      <c r="H24" s="1" t="s">
        <v>59</v>
      </c>
      <c r="J24" t="s">
        <v>173</v>
      </c>
      <c r="K24" t="s">
        <v>174</v>
      </c>
      <c r="L24" t="str">
        <f t="shared" si="0"/>
        <v>Faith.Udo@dame.com</v>
      </c>
      <c r="M24">
        <f>LEN(Table1[[#This Row],[Full Name]])</f>
        <v>9</v>
      </c>
      <c r="N24" t="str">
        <f>UPPER(Table1[[#This Row],[Department]])</f>
        <v>FINANCE</v>
      </c>
      <c r="O24" t="str">
        <f>LOWER(Table1[[#This Row],[Department]])</f>
        <v>finance</v>
      </c>
      <c r="P24" t="str">
        <f>PROPER(Table1[[#This Row],[Department]])</f>
        <v>Finance</v>
      </c>
      <c r="Q24" t="str">
        <f>TRIM(Table1[[#This Row],[Full Name]])</f>
        <v>Faith Udo</v>
      </c>
    </row>
    <row r="25" spans="1:17" ht="16.5" customHeight="1" x14ac:dyDescent="0.25">
      <c r="A25" s="1" t="s">
        <v>92</v>
      </c>
      <c r="B25" s="1" t="s">
        <v>70</v>
      </c>
      <c r="C25" s="1" t="s">
        <v>41</v>
      </c>
      <c r="D25" s="1" t="s">
        <v>76</v>
      </c>
      <c r="E25" s="1" t="s">
        <v>48</v>
      </c>
      <c r="F25" s="5">
        <v>422408</v>
      </c>
      <c r="G25" s="1">
        <v>9</v>
      </c>
      <c r="H25" s="1" t="s">
        <v>59</v>
      </c>
      <c r="J25" t="s">
        <v>181</v>
      </c>
      <c r="K25" t="s">
        <v>182</v>
      </c>
      <c r="L25" t="str">
        <f t="shared" si="0"/>
        <v>Tope.Ade@dame.com</v>
      </c>
      <c r="M25">
        <f>LEN(Table1[[#This Row],[Full Name]])</f>
        <v>8</v>
      </c>
      <c r="N25" t="str">
        <f>UPPER(Table1[[#This Row],[Department]])</f>
        <v>IT</v>
      </c>
      <c r="O25" t="str">
        <f>LOWER(Table1[[#This Row],[Department]])</f>
        <v>it</v>
      </c>
      <c r="P25" t="str">
        <f>PROPER(Table1[[#This Row],[Department]])</f>
        <v>It</v>
      </c>
      <c r="Q25" t="str">
        <f>TRIM(Table1[[#This Row],[Full Name]])</f>
        <v>Tope Ade</v>
      </c>
    </row>
    <row r="26" spans="1:17" ht="16.5" customHeight="1" x14ac:dyDescent="0.25">
      <c r="A26" s="1" t="s">
        <v>93</v>
      </c>
      <c r="B26" s="1" t="s">
        <v>94</v>
      </c>
      <c r="C26" s="1" t="s">
        <v>71</v>
      </c>
      <c r="D26" s="1" t="s">
        <v>79</v>
      </c>
      <c r="E26" s="1" t="s">
        <v>43</v>
      </c>
      <c r="F26" s="5">
        <v>291740</v>
      </c>
      <c r="G26" s="1">
        <v>1</v>
      </c>
      <c r="H26" s="1" t="s">
        <v>59</v>
      </c>
      <c r="J26" t="s">
        <v>187</v>
      </c>
      <c r="K26" t="s">
        <v>188</v>
      </c>
      <c r="L26" t="str">
        <f t="shared" si="0"/>
        <v>Ngozi.Bello@dame.com</v>
      </c>
      <c r="M26">
        <f>LEN(Table1[[#This Row],[Full Name]])</f>
        <v>11</v>
      </c>
      <c r="N26" t="str">
        <f>UPPER(Table1[[#This Row],[Department]])</f>
        <v>HR</v>
      </c>
      <c r="O26" t="str">
        <f>LOWER(Table1[[#This Row],[Department]])</f>
        <v>hr</v>
      </c>
      <c r="P26" t="str">
        <f>PROPER(Table1[[#This Row],[Department]])</f>
        <v>Hr</v>
      </c>
      <c r="Q26" t="str">
        <f>TRIM(Table1[[#This Row],[Full Name]])</f>
        <v>Ngozi Bello</v>
      </c>
    </row>
    <row r="27" spans="1:17" ht="16.5" customHeight="1" x14ac:dyDescent="0.25">
      <c r="A27" s="1" t="s">
        <v>95</v>
      </c>
      <c r="B27" s="1" t="s">
        <v>51</v>
      </c>
      <c r="C27" s="1" t="s">
        <v>71</v>
      </c>
      <c r="D27" s="1" t="s">
        <v>90</v>
      </c>
      <c r="E27" s="1" t="s">
        <v>48</v>
      </c>
      <c r="F27" s="5">
        <v>417509</v>
      </c>
      <c r="G27" s="1">
        <v>7</v>
      </c>
      <c r="H27" s="1" t="s">
        <v>66</v>
      </c>
      <c r="J27" t="s">
        <v>173</v>
      </c>
      <c r="K27" t="s">
        <v>174</v>
      </c>
      <c r="L27" t="str">
        <f t="shared" si="0"/>
        <v>Faith.Udo@dame.com</v>
      </c>
      <c r="M27">
        <f>LEN(Table1[[#This Row],[Full Name]])</f>
        <v>9</v>
      </c>
      <c r="N27" t="str">
        <f>UPPER(Table1[[#This Row],[Department]])</f>
        <v>HR</v>
      </c>
      <c r="O27" t="str">
        <f>LOWER(Table1[[#This Row],[Department]])</f>
        <v>hr</v>
      </c>
      <c r="P27" t="str">
        <f>PROPER(Table1[[#This Row],[Department]])</f>
        <v>Hr</v>
      </c>
      <c r="Q27" t="str">
        <f>TRIM(Table1[[#This Row],[Full Name]])</f>
        <v>Faith Udo</v>
      </c>
    </row>
    <row r="28" spans="1:17" ht="16.5" customHeight="1" x14ac:dyDescent="0.25">
      <c r="A28" s="1" t="s">
        <v>96</v>
      </c>
      <c r="B28" s="1" t="s">
        <v>51</v>
      </c>
      <c r="C28" s="1" t="s">
        <v>52</v>
      </c>
      <c r="D28" s="1" t="s">
        <v>47</v>
      </c>
      <c r="E28" s="1" t="s">
        <v>43</v>
      </c>
      <c r="F28" s="5">
        <v>450750</v>
      </c>
      <c r="G28" s="1">
        <v>4</v>
      </c>
      <c r="H28" s="1" t="s">
        <v>44</v>
      </c>
      <c r="J28" t="s">
        <v>173</v>
      </c>
      <c r="K28" t="s">
        <v>174</v>
      </c>
      <c r="L28" t="str">
        <f t="shared" si="0"/>
        <v>Faith.Udo@dame.com</v>
      </c>
      <c r="M28">
        <f>LEN(Table1[[#This Row],[Full Name]])</f>
        <v>9</v>
      </c>
      <c r="N28" t="str">
        <f>UPPER(Table1[[#This Row],[Department]])</f>
        <v>SALES</v>
      </c>
      <c r="O28" t="str">
        <f>LOWER(Table1[[#This Row],[Department]])</f>
        <v>sales</v>
      </c>
      <c r="P28" t="str">
        <f>PROPER(Table1[[#This Row],[Department]])</f>
        <v>Sales</v>
      </c>
      <c r="Q28" t="str">
        <f>TRIM(Table1[[#This Row],[Full Name]])</f>
        <v>Faith Udo</v>
      </c>
    </row>
    <row r="29" spans="1:17" ht="16.5" customHeight="1" x14ac:dyDescent="0.25">
      <c r="A29" s="1" t="s">
        <v>97</v>
      </c>
      <c r="B29" s="1" t="s">
        <v>70</v>
      </c>
      <c r="C29" s="1" t="s">
        <v>71</v>
      </c>
      <c r="D29" s="1" t="s">
        <v>90</v>
      </c>
      <c r="E29" s="1" t="s">
        <v>43</v>
      </c>
      <c r="F29" s="5">
        <v>281642</v>
      </c>
      <c r="G29" s="1">
        <v>5</v>
      </c>
      <c r="H29" s="1" t="s">
        <v>56</v>
      </c>
      <c r="J29" t="s">
        <v>181</v>
      </c>
      <c r="K29" t="s">
        <v>182</v>
      </c>
      <c r="L29" t="str">
        <f t="shared" si="0"/>
        <v>Tope.Ade@dame.com</v>
      </c>
      <c r="M29">
        <f>LEN(Table1[[#This Row],[Full Name]])</f>
        <v>8</v>
      </c>
      <c r="N29" t="str">
        <f>UPPER(Table1[[#This Row],[Department]])</f>
        <v>HR</v>
      </c>
      <c r="O29" t="str">
        <f>LOWER(Table1[[#This Row],[Department]])</f>
        <v>hr</v>
      </c>
      <c r="P29" t="str">
        <f>PROPER(Table1[[#This Row],[Department]])</f>
        <v>Hr</v>
      </c>
      <c r="Q29" t="str">
        <f>TRIM(Table1[[#This Row],[Full Name]])</f>
        <v>Tope Ade</v>
      </c>
    </row>
    <row r="30" spans="1:17" ht="16.5" customHeight="1" x14ac:dyDescent="0.25">
      <c r="A30" s="1" t="s">
        <v>98</v>
      </c>
      <c r="B30" s="1" t="s">
        <v>64</v>
      </c>
      <c r="C30" s="1" t="s">
        <v>52</v>
      </c>
      <c r="D30" s="1" t="s">
        <v>62</v>
      </c>
      <c r="E30" s="1" t="s">
        <v>48</v>
      </c>
      <c r="F30" s="5">
        <v>291645</v>
      </c>
      <c r="G30" s="1">
        <v>10</v>
      </c>
      <c r="H30" s="1" t="s">
        <v>44</v>
      </c>
      <c r="J30" t="s">
        <v>179</v>
      </c>
      <c r="K30" t="s">
        <v>180</v>
      </c>
      <c r="L30" t="str">
        <f t="shared" si="0"/>
        <v>James.Obi@dame.com</v>
      </c>
      <c r="M30">
        <f>LEN(Table1[[#This Row],[Full Name]])</f>
        <v>9</v>
      </c>
      <c r="N30" t="str">
        <f>UPPER(Table1[[#This Row],[Department]])</f>
        <v>SALES</v>
      </c>
      <c r="O30" t="str">
        <f>LOWER(Table1[[#This Row],[Department]])</f>
        <v>sales</v>
      </c>
      <c r="P30" t="str">
        <f>PROPER(Table1[[#This Row],[Department]])</f>
        <v>Sales</v>
      </c>
      <c r="Q30" t="str">
        <f>TRIM(Table1[[#This Row],[Full Name]])</f>
        <v>James Obi</v>
      </c>
    </row>
    <row r="31" spans="1:17" ht="16.5" customHeight="1" x14ac:dyDescent="0.25">
      <c r="A31" s="1" t="s">
        <v>99</v>
      </c>
      <c r="B31" s="1" t="s">
        <v>58</v>
      </c>
      <c r="C31" s="1" t="s">
        <v>41</v>
      </c>
      <c r="D31" s="1" t="s">
        <v>62</v>
      </c>
      <c r="E31" s="1" t="s">
        <v>48</v>
      </c>
      <c r="F31" s="5">
        <v>309288</v>
      </c>
      <c r="G31" s="1">
        <v>7</v>
      </c>
      <c r="H31" s="1" t="s">
        <v>59</v>
      </c>
      <c r="J31" t="s">
        <v>175</v>
      </c>
      <c r="K31" t="s">
        <v>176</v>
      </c>
      <c r="L31" t="str">
        <f t="shared" si="0"/>
        <v>Ibrahim.Musa@dame.com</v>
      </c>
      <c r="M31">
        <f>LEN(Table1[[#This Row],[Full Name]])</f>
        <v>12</v>
      </c>
      <c r="N31" t="str">
        <f>UPPER(Table1[[#This Row],[Department]])</f>
        <v>IT</v>
      </c>
      <c r="O31" t="str">
        <f>LOWER(Table1[[#This Row],[Department]])</f>
        <v>it</v>
      </c>
      <c r="P31" t="str">
        <f>PROPER(Table1[[#This Row],[Department]])</f>
        <v>It</v>
      </c>
      <c r="Q31" t="str">
        <f>TRIM(Table1[[#This Row],[Full Name]])</f>
        <v>Ibrahim Musa</v>
      </c>
    </row>
    <row r="32" spans="1:17" ht="16.5" customHeight="1" x14ac:dyDescent="0.25">
      <c r="A32" s="1" t="s">
        <v>100</v>
      </c>
      <c r="B32" s="1" t="s">
        <v>58</v>
      </c>
      <c r="C32" s="1" t="s">
        <v>71</v>
      </c>
      <c r="D32" s="1" t="s">
        <v>47</v>
      </c>
      <c r="E32" s="1" t="s">
        <v>43</v>
      </c>
      <c r="F32" s="5">
        <v>271687</v>
      </c>
      <c r="G32" s="1">
        <v>10</v>
      </c>
      <c r="H32" s="1" t="s">
        <v>59</v>
      </c>
      <c r="J32" t="s">
        <v>175</v>
      </c>
      <c r="K32" t="s">
        <v>176</v>
      </c>
      <c r="L32" t="str">
        <f t="shared" si="0"/>
        <v>Ibrahim.Musa@dame.com</v>
      </c>
      <c r="M32">
        <f>LEN(Table1[[#This Row],[Full Name]])</f>
        <v>12</v>
      </c>
      <c r="N32" t="str">
        <f>UPPER(Table1[[#This Row],[Department]])</f>
        <v>HR</v>
      </c>
      <c r="O32" t="str">
        <f>LOWER(Table1[[#This Row],[Department]])</f>
        <v>hr</v>
      </c>
      <c r="P32" t="str">
        <f>PROPER(Table1[[#This Row],[Department]])</f>
        <v>Hr</v>
      </c>
      <c r="Q32" t="str">
        <f>TRIM(Table1[[#This Row],[Full Name]])</f>
        <v>Ibrahim Musa</v>
      </c>
    </row>
    <row r="33" spans="1:17" ht="16.5" customHeight="1" x14ac:dyDescent="0.25">
      <c r="A33" s="1" t="s">
        <v>101</v>
      </c>
      <c r="B33" s="1" t="s">
        <v>51</v>
      </c>
      <c r="C33" s="1" t="s">
        <v>41</v>
      </c>
      <c r="D33" s="1" t="s">
        <v>62</v>
      </c>
      <c r="E33" s="1" t="s">
        <v>43</v>
      </c>
      <c r="F33" s="5">
        <v>365101</v>
      </c>
      <c r="G33" s="1">
        <v>9</v>
      </c>
      <c r="H33" s="1" t="s">
        <v>56</v>
      </c>
      <c r="J33" t="s">
        <v>173</v>
      </c>
      <c r="K33" t="s">
        <v>174</v>
      </c>
      <c r="L33" t="str">
        <f t="shared" si="0"/>
        <v>Faith.Udo@dame.com</v>
      </c>
      <c r="M33">
        <f>LEN(Table1[[#This Row],[Full Name]])</f>
        <v>9</v>
      </c>
      <c r="N33" t="str">
        <f>UPPER(Table1[[#This Row],[Department]])</f>
        <v>IT</v>
      </c>
      <c r="O33" t="str">
        <f>LOWER(Table1[[#This Row],[Department]])</f>
        <v>it</v>
      </c>
      <c r="P33" t="str">
        <f>PROPER(Table1[[#This Row],[Department]])</f>
        <v>It</v>
      </c>
      <c r="Q33" t="str">
        <f>TRIM(Table1[[#This Row],[Full Name]])</f>
        <v>Faith Udo</v>
      </c>
    </row>
    <row r="34" spans="1:17" ht="16.5" customHeight="1" x14ac:dyDescent="0.25">
      <c r="A34" s="1" t="s">
        <v>102</v>
      </c>
      <c r="B34" s="1" t="s">
        <v>94</v>
      </c>
      <c r="C34" s="1" t="s">
        <v>41</v>
      </c>
      <c r="D34" s="1" t="s">
        <v>90</v>
      </c>
      <c r="E34" s="1" t="s">
        <v>43</v>
      </c>
      <c r="F34" s="5">
        <v>472149</v>
      </c>
      <c r="G34" s="1">
        <v>7</v>
      </c>
      <c r="H34" s="1" t="s">
        <v>66</v>
      </c>
      <c r="J34" t="s">
        <v>187</v>
      </c>
      <c r="K34" t="s">
        <v>188</v>
      </c>
      <c r="L34" t="str">
        <f t="shared" si="0"/>
        <v>Ngozi.Bello@dame.com</v>
      </c>
      <c r="M34">
        <f>LEN(Table1[[#This Row],[Full Name]])</f>
        <v>11</v>
      </c>
      <c r="N34" t="str">
        <f>UPPER(Table1[[#This Row],[Department]])</f>
        <v>IT</v>
      </c>
      <c r="O34" t="str">
        <f>LOWER(Table1[[#This Row],[Department]])</f>
        <v>it</v>
      </c>
      <c r="P34" t="str">
        <f>PROPER(Table1[[#This Row],[Department]])</f>
        <v>It</v>
      </c>
      <c r="Q34" t="str">
        <f>TRIM(Table1[[#This Row],[Full Name]])</f>
        <v>Ngozi Bello</v>
      </c>
    </row>
    <row r="35" spans="1:17" ht="16.5" customHeight="1" x14ac:dyDescent="0.25">
      <c r="A35" s="1" t="s">
        <v>103</v>
      </c>
      <c r="B35" s="1" t="s">
        <v>58</v>
      </c>
      <c r="C35" s="1" t="s">
        <v>52</v>
      </c>
      <c r="D35" s="1" t="s">
        <v>90</v>
      </c>
      <c r="E35" s="1" t="s">
        <v>43</v>
      </c>
      <c r="F35" s="5">
        <v>408551</v>
      </c>
      <c r="G35" s="1">
        <v>7</v>
      </c>
      <c r="H35" s="1" t="s">
        <v>66</v>
      </c>
      <c r="J35" t="s">
        <v>175</v>
      </c>
      <c r="K35" t="s">
        <v>176</v>
      </c>
      <c r="L35" t="str">
        <f t="shared" si="0"/>
        <v>Ibrahim.Musa@dame.com</v>
      </c>
      <c r="M35">
        <f>LEN(Table1[[#This Row],[Full Name]])</f>
        <v>12</v>
      </c>
      <c r="N35" t="str">
        <f>UPPER(Table1[[#This Row],[Department]])</f>
        <v>SALES</v>
      </c>
      <c r="O35" t="str">
        <f>LOWER(Table1[[#This Row],[Department]])</f>
        <v>sales</v>
      </c>
      <c r="P35" t="str">
        <f>PROPER(Table1[[#This Row],[Department]])</f>
        <v>Sales</v>
      </c>
      <c r="Q35" t="str">
        <f>TRIM(Table1[[#This Row],[Full Name]])</f>
        <v>Ibrahim Musa</v>
      </c>
    </row>
    <row r="36" spans="1:17" ht="16.5" customHeight="1" x14ac:dyDescent="0.25">
      <c r="A36" s="1" t="s">
        <v>104</v>
      </c>
      <c r="B36" s="1" t="s">
        <v>94</v>
      </c>
      <c r="C36" s="1" t="s">
        <v>52</v>
      </c>
      <c r="D36" s="1" t="s">
        <v>90</v>
      </c>
      <c r="E36" s="1" t="s">
        <v>48</v>
      </c>
      <c r="F36" s="5">
        <v>334912</v>
      </c>
      <c r="G36" s="1">
        <v>2</v>
      </c>
      <c r="H36" s="1" t="s">
        <v>66</v>
      </c>
      <c r="J36" t="s">
        <v>187</v>
      </c>
      <c r="K36" t="s">
        <v>188</v>
      </c>
      <c r="L36" t="str">
        <f t="shared" si="0"/>
        <v>Ngozi.Bello@dame.com</v>
      </c>
      <c r="M36">
        <f>LEN(Table1[[#This Row],[Full Name]])</f>
        <v>11</v>
      </c>
      <c r="N36" t="str">
        <f>UPPER(Table1[[#This Row],[Department]])</f>
        <v>SALES</v>
      </c>
      <c r="O36" t="str">
        <f>LOWER(Table1[[#This Row],[Department]])</f>
        <v>sales</v>
      </c>
      <c r="P36" t="str">
        <f>PROPER(Table1[[#This Row],[Department]])</f>
        <v>Sales</v>
      </c>
      <c r="Q36" t="str">
        <f>TRIM(Table1[[#This Row],[Full Name]])</f>
        <v>Ngozi Bello</v>
      </c>
    </row>
    <row r="37" spans="1:17" ht="16.5" customHeight="1" x14ac:dyDescent="0.25">
      <c r="A37" s="1" t="s">
        <v>105</v>
      </c>
      <c r="B37" s="1" t="s">
        <v>75</v>
      </c>
      <c r="C37" s="1" t="s">
        <v>54</v>
      </c>
      <c r="D37" s="1" t="s">
        <v>55</v>
      </c>
      <c r="E37" s="1" t="s">
        <v>48</v>
      </c>
      <c r="F37" s="5">
        <v>311844</v>
      </c>
      <c r="G37" s="1">
        <v>8</v>
      </c>
      <c r="H37" s="1" t="s">
        <v>56</v>
      </c>
      <c r="J37" t="s">
        <v>183</v>
      </c>
      <c r="K37" t="s">
        <v>184</v>
      </c>
      <c r="L37" t="str">
        <f t="shared" si="0"/>
        <v>Chika.Umeh@dame.com</v>
      </c>
      <c r="M37">
        <f>LEN(Table1[[#This Row],[Full Name]])</f>
        <v>10</v>
      </c>
      <c r="N37" t="str">
        <f>UPPER(Table1[[#This Row],[Department]])</f>
        <v>FINANCE</v>
      </c>
      <c r="O37" t="str">
        <f>LOWER(Table1[[#This Row],[Department]])</f>
        <v>finance</v>
      </c>
      <c r="P37" t="str">
        <f>PROPER(Table1[[#This Row],[Department]])</f>
        <v>Finance</v>
      </c>
      <c r="Q37" t="str">
        <f>TRIM(Table1[[#This Row],[Full Name]])</f>
        <v>Chika Umeh</v>
      </c>
    </row>
    <row r="38" spans="1:17" ht="16.5" customHeight="1" x14ac:dyDescent="0.25">
      <c r="A38" s="1" t="s">
        <v>106</v>
      </c>
      <c r="B38" s="1" t="s">
        <v>70</v>
      </c>
      <c r="C38" s="1" t="s">
        <v>46</v>
      </c>
      <c r="D38" s="1" t="s">
        <v>42</v>
      </c>
      <c r="E38" s="1" t="s">
        <v>48</v>
      </c>
      <c r="F38" s="5">
        <v>222804</v>
      </c>
      <c r="G38" s="1">
        <v>8</v>
      </c>
      <c r="H38" s="1" t="s">
        <v>56</v>
      </c>
      <c r="J38" t="s">
        <v>181</v>
      </c>
      <c r="K38" t="s">
        <v>182</v>
      </c>
      <c r="L38" t="str">
        <f t="shared" si="0"/>
        <v>Tope.Ade@dame.com</v>
      </c>
      <c r="M38">
        <f>LEN(Table1[[#This Row],[Full Name]])</f>
        <v>8</v>
      </c>
      <c r="N38" t="str">
        <f>UPPER(Table1[[#This Row],[Department]])</f>
        <v>MARKETING</v>
      </c>
      <c r="O38" t="str">
        <f>LOWER(Table1[[#This Row],[Department]])</f>
        <v>marketing</v>
      </c>
      <c r="P38" t="str">
        <f>PROPER(Table1[[#This Row],[Department]])</f>
        <v>Marketing</v>
      </c>
      <c r="Q38" t="str">
        <f>TRIM(Table1[[#This Row],[Full Name]])</f>
        <v>Tope Ade</v>
      </c>
    </row>
    <row r="39" spans="1:17" ht="16.5" customHeight="1" x14ac:dyDescent="0.25">
      <c r="A39" s="1" t="s">
        <v>107</v>
      </c>
      <c r="B39" s="1" t="s">
        <v>40</v>
      </c>
      <c r="C39" s="1" t="s">
        <v>54</v>
      </c>
      <c r="D39" s="1" t="s">
        <v>79</v>
      </c>
      <c r="E39" s="1" t="s">
        <v>43</v>
      </c>
      <c r="F39" s="5">
        <v>202674</v>
      </c>
      <c r="G39" s="1">
        <v>4</v>
      </c>
      <c r="H39" s="1" t="s">
        <v>44</v>
      </c>
      <c r="J39" t="s">
        <v>171</v>
      </c>
      <c r="K39" t="s">
        <v>172</v>
      </c>
      <c r="L39" t="str">
        <f t="shared" si="0"/>
        <v>Sade.Bassey@dame.com</v>
      </c>
      <c r="M39">
        <f>LEN(Table1[[#This Row],[Full Name]])</f>
        <v>11</v>
      </c>
      <c r="N39" t="str">
        <f>UPPER(Table1[[#This Row],[Department]])</f>
        <v>FINANCE</v>
      </c>
      <c r="O39" t="str">
        <f>LOWER(Table1[[#This Row],[Department]])</f>
        <v>finance</v>
      </c>
      <c r="P39" t="str">
        <f>PROPER(Table1[[#This Row],[Department]])</f>
        <v>Finance</v>
      </c>
      <c r="Q39" t="str">
        <f>TRIM(Table1[[#This Row],[Full Name]])</f>
        <v>Sade Bassey</v>
      </c>
    </row>
    <row r="40" spans="1:17" ht="16.5" customHeight="1" x14ac:dyDescent="0.25">
      <c r="A40" s="1" t="s">
        <v>108</v>
      </c>
      <c r="B40" s="1" t="s">
        <v>40</v>
      </c>
      <c r="C40" s="1" t="s">
        <v>41</v>
      </c>
      <c r="D40" s="1" t="s">
        <v>76</v>
      </c>
      <c r="E40" s="1" t="s">
        <v>43</v>
      </c>
      <c r="F40" s="5">
        <v>481535</v>
      </c>
      <c r="G40" s="1">
        <v>10</v>
      </c>
      <c r="H40" s="1" t="s">
        <v>56</v>
      </c>
      <c r="J40" t="s">
        <v>171</v>
      </c>
      <c r="K40" t="s">
        <v>172</v>
      </c>
      <c r="L40" t="str">
        <f t="shared" si="0"/>
        <v>Sade.Bassey@dame.com</v>
      </c>
      <c r="M40">
        <f>LEN(Table1[[#This Row],[Full Name]])</f>
        <v>11</v>
      </c>
      <c r="N40" t="str">
        <f>UPPER(Table1[[#This Row],[Department]])</f>
        <v>IT</v>
      </c>
      <c r="O40" t="str">
        <f>LOWER(Table1[[#This Row],[Department]])</f>
        <v>it</v>
      </c>
      <c r="P40" t="str">
        <f>PROPER(Table1[[#This Row],[Department]])</f>
        <v>It</v>
      </c>
      <c r="Q40" t="str">
        <f>TRIM(Table1[[#This Row],[Full Name]])</f>
        <v>Sade Bassey</v>
      </c>
    </row>
    <row r="41" spans="1:17" ht="16.5" customHeight="1" x14ac:dyDescent="0.25">
      <c r="A41" s="1" t="s">
        <v>109</v>
      </c>
      <c r="B41" s="1" t="s">
        <v>64</v>
      </c>
      <c r="C41" s="1" t="s">
        <v>54</v>
      </c>
      <c r="D41" s="1" t="s">
        <v>55</v>
      </c>
      <c r="E41" s="1" t="s">
        <v>48</v>
      </c>
      <c r="F41" s="5">
        <v>338509</v>
      </c>
      <c r="G41" s="1">
        <v>1</v>
      </c>
      <c r="H41" s="1" t="s">
        <v>59</v>
      </c>
      <c r="J41" t="s">
        <v>179</v>
      </c>
      <c r="K41" t="s">
        <v>180</v>
      </c>
      <c r="L41" t="str">
        <f t="shared" si="0"/>
        <v>James.Obi@dame.com</v>
      </c>
      <c r="M41">
        <f>LEN(Table1[[#This Row],[Full Name]])</f>
        <v>9</v>
      </c>
      <c r="N41" t="str">
        <f>UPPER(Table1[[#This Row],[Department]])</f>
        <v>FINANCE</v>
      </c>
      <c r="O41" t="str">
        <f>LOWER(Table1[[#This Row],[Department]])</f>
        <v>finance</v>
      </c>
      <c r="P41" t="str">
        <f>PROPER(Table1[[#This Row],[Department]])</f>
        <v>Finance</v>
      </c>
      <c r="Q41" t="str">
        <f>TRIM(Table1[[#This Row],[Full Name]])</f>
        <v>James Obi</v>
      </c>
    </row>
    <row r="42" spans="1:17" ht="16.5" customHeight="1" x14ac:dyDescent="0.25">
      <c r="A42" s="1" t="s">
        <v>110</v>
      </c>
      <c r="B42" s="1" t="s">
        <v>40</v>
      </c>
      <c r="C42" s="1" t="s">
        <v>52</v>
      </c>
      <c r="D42" s="1" t="s">
        <v>55</v>
      </c>
      <c r="E42" s="1" t="s">
        <v>43</v>
      </c>
      <c r="F42" s="5">
        <v>234031</v>
      </c>
      <c r="G42" s="1">
        <v>10</v>
      </c>
      <c r="H42" s="1" t="s">
        <v>49</v>
      </c>
      <c r="J42" t="s">
        <v>171</v>
      </c>
      <c r="K42" t="s">
        <v>172</v>
      </c>
      <c r="L42" t="str">
        <f t="shared" si="0"/>
        <v>Sade.Bassey@dame.com</v>
      </c>
      <c r="M42">
        <f>LEN(Table1[[#This Row],[Full Name]])</f>
        <v>11</v>
      </c>
      <c r="N42" t="str">
        <f>UPPER(Table1[[#This Row],[Department]])</f>
        <v>SALES</v>
      </c>
      <c r="O42" t="str">
        <f>LOWER(Table1[[#This Row],[Department]])</f>
        <v>sales</v>
      </c>
      <c r="P42" t="str">
        <f>PROPER(Table1[[#This Row],[Department]])</f>
        <v>Sales</v>
      </c>
      <c r="Q42" t="str">
        <f>TRIM(Table1[[#This Row],[Full Name]])</f>
        <v>Sade Bassey</v>
      </c>
    </row>
    <row r="43" spans="1:17" ht="16.5" customHeight="1" x14ac:dyDescent="0.25">
      <c r="A43" s="1" t="s">
        <v>111</v>
      </c>
      <c r="B43" s="1" t="s">
        <v>51</v>
      </c>
      <c r="C43" s="1" t="s">
        <v>52</v>
      </c>
      <c r="D43" s="1" t="s">
        <v>62</v>
      </c>
      <c r="E43" s="1" t="s">
        <v>48</v>
      </c>
      <c r="F43" s="5">
        <v>265908</v>
      </c>
      <c r="G43" s="1">
        <v>7</v>
      </c>
      <c r="H43" s="1" t="s">
        <v>49</v>
      </c>
      <c r="J43" t="s">
        <v>173</v>
      </c>
      <c r="K43" t="s">
        <v>174</v>
      </c>
      <c r="L43" t="str">
        <f t="shared" si="0"/>
        <v>Faith.Udo@dame.com</v>
      </c>
      <c r="M43">
        <f>LEN(Table1[[#This Row],[Full Name]])</f>
        <v>9</v>
      </c>
      <c r="N43" t="str">
        <f>UPPER(Table1[[#This Row],[Department]])</f>
        <v>SALES</v>
      </c>
      <c r="O43" t="str">
        <f>LOWER(Table1[[#This Row],[Department]])</f>
        <v>sales</v>
      </c>
      <c r="P43" t="str">
        <f>PROPER(Table1[[#This Row],[Department]])</f>
        <v>Sales</v>
      </c>
      <c r="Q43" t="str">
        <f>TRIM(Table1[[#This Row],[Full Name]])</f>
        <v>Faith Udo</v>
      </c>
    </row>
    <row r="44" spans="1:17" ht="16.5" customHeight="1" x14ac:dyDescent="0.25">
      <c r="A44" s="1" t="s">
        <v>112</v>
      </c>
      <c r="B44" s="1" t="s">
        <v>75</v>
      </c>
      <c r="C44" s="1" t="s">
        <v>41</v>
      </c>
      <c r="D44" s="1" t="s">
        <v>42</v>
      </c>
      <c r="E44" s="1" t="s">
        <v>48</v>
      </c>
      <c r="F44" s="5">
        <v>338554</v>
      </c>
      <c r="G44" s="1">
        <v>1</v>
      </c>
      <c r="H44" s="1" t="s">
        <v>49</v>
      </c>
      <c r="J44" t="s">
        <v>183</v>
      </c>
      <c r="K44" t="s">
        <v>184</v>
      </c>
      <c r="L44" t="str">
        <f t="shared" si="0"/>
        <v>Chika.Umeh@dame.com</v>
      </c>
      <c r="M44">
        <f>LEN(Table1[[#This Row],[Full Name]])</f>
        <v>10</v>
      </c>
      <c r="N44" t="str">
        <f>UPPER(Table1[[#This Row],[Department]])</f>
        <v>IT</v>
      </c>
      <c r="O44" t="str">
        <f>LOWER(Table1[[#This Row],[Department]])</f>
        <v>it</v>
      </c>
      <c r="P44" t="str">
        <f>PROPER(Table1[[#This Row],[Department]])</f>
        <v>It</v>
      </c>
      <c r="Q44" t="str">
        <f>TRIM(Table1[[#This Row],[Full Name]])</f>
        <v>Chika Umeh</v>
      </c>
    </row>
    <row r="45" spans="1:17" ht="16.5" customHeight="1" x14ac:dyDescent="0.25">
      <c r="A45" s="1" t="s">
        <v>113</v>
      </c>
      <c r="B45" s="1" t="s">
        <v>51</v>
      </c>
      <c r="C45" s="1" t="s">
        <v>46</v>
      </c>
      <c r="D45" s="1" t="s">
        <v>79</v>
      </c>
      <c r="E45" s="1" t="s">
        <v>48</v>
      </c>
      <c r="F45" s="5">
        <v>413957</v>
      </c>
      <c r="G45" s="1">
        <v>3</v>
      </c>
      <c r="H45" s="1" t="s">
        <v>59</v>
      </c>
      <c r="J45" t="s">
        <v>173</v>
      </c>
      <c r="K45" t="s">
        <v>174</v>
      </c>
      <c r="L45" t="str">
        <f t="shared" si="0"/>
        <v>Faith.Udo@dame.com</v>
      </c>
      <c r="M45">
        <f>LEN(Table1[[#This Row],[Full Name]])</f>
        <v>9</v>
      </c>
      <c r="N45" t="str">
        <f>UPPER(Table1[[#This Row],[Department]])</f>
        <v>MARKETING</v>
      </c>
      <c r="O45" t="str">
        <f>LOWER(Table1[[#This Row],[Department]])</f>
        <v>marketing</v>
      </c>
      <c r="P45" t="str">
        <f>PROPER(Table1[[#This Row],[Department]])</f>
        <v>Marketing</v>
      </c>
      <c r="Q45" t="str">
        <f>TRIM(Table1[[#This Row],[Full Name]])</f>
        <v>Faith Udo</v>
      </c>
    </row>
    <row r="46" spans="1:17" ht="16.5" customHeight="1" x14ac:dyDescent="0.25">
      <c r="A46" s="1" t="s">
        <v>114</v>
      </c>
      <c r="B46" s="1" t="s">
        <v>40</v>
      </c>
      <c r="C46" s="1" t="s">
        <v>71</v>
      </c>
      <c r="D46" s="1" t="s">
        <v>42</v>
      </c>
      <c r="E46" s="1" t="s">
        <v>43</v>
      </c>
      <c r="F46" s="5">
        <v>485264</v>
      </c>
      <c r="G46" s="1">
        <v>1</v>
      </c>
      <c r="H46" s="1" t="s">
        <v>56</v>
      </c>
      <c r="J46" t="s">
        <v>171</v>
      </c>
      <c r="K46" t="s">
        <v>172</v>
      </c>
      <c r="L46" t="str">
        <f t="shared" si="0"/>
        <v>Sade.Bassey@dame.com</v>
      </c>
      <c r="M46">
        <f>LEN(Table1[[#This Row],[Full Name]])</f>
        <v>11</v>
      </c>
      <c r="N46" t="str">
        <f>UPPER(Table1[[#This Row],[Department]])</f>
        <v>HR</v>
      </c>
      <c r="O46" t="str">
        <f>LOWER(Table1[[#This Row],[Department]])</f>
        <v>hr</v>
      </c>
      <c r="P46" t="str">
        <f>PROPER(Table1[[#This Row],[Department]])</f>
        <v>Hr</v>
      </c>
      <c r="Q46" t="str">
        <f>TRIM(Table1[[#This Row],[Full Name]])</f>
        <v>Sade Bassey</v>
      </c>
    </row>
    <row r="47" spans="1:17" ht="16.5" customHeight="1" x14ac:dyDescent="0.25">
      <c r="A47" s="1" t="s">
        <v>115</v>
      </c>
      <c r="B47" s="1" t="s">
        <v>75</v>
      </c>
      <c r="C47" s="1" t="s">
        <v>52</v>
      </c>
      <c r="D47" s="1" t="s">
        <v>79</v>
      </c>
      <c r="E47" s="1" t="s">
        <v>43</v>
      </c>
      <c r="F47" s="5">
        <v>363350</v>
      </c>
      <c r="G47" s="1">
        <v>1</v>
      </c>
      <c r="H47" s="1" t="s">
        <v>49</v>
      </c>
      <c r="J47" t="s">
        <v>183</v>
      </c>
      <c r="K47" t="s">
        <v>184</v>
      </c>
      <c r="L47" t="str">
        <f t="shared" si="0"/>
        <v>Chika.Umeh@dame.com</v>
      </c>
      <c r="M47">
        <f>LEN(Table1[[#This Row],[Full Name]])</f>
        <v>10</v>
      </c>
      <c r="N47" t="str">
        <f>UPPER(Table1[[#This Row],[Department]])</f>
        <v>SALES</v>
      </c>
      <c r="O47" t="str">
        <f>LOWER(Table1[[#This Row],[Department]])</f>
        <v>sales</v>
      </c>
      <c r="P47" t="str">
        <f>PROPER(Table1[[#This Row],[Department]])</f>
        <v>Sales</v>
      </c>
      <c r="Q47" t="str">
        <f>TRIM(Table1[[#This Row],[Full Name]])</f>
        <v>Chika Umeh</v>
      </c>
    </row>
    <row r="48" spans="1:17" ht="16.5" customHeight="1" x14ac:dyDescent="0.25">
      <c r="A48" s="1" t="s">
        <v>116</v>
      </c>
      <c r="B48" s="1" t="s">
        <v>61</v>
      </c>
      <c r="C48" s="1" t="s">
        <v>71</v>
      </c>
      <c r="D48" s="1" t="s">
        <v>47</v>
      </c>
      <c r="E48" s="1" t="s">
        <v>43</v>
      </c>
      <c r="F48" s="5">
        <v>428005</v>
      </c>
      <c r="G48" s="1">
        <v>4</v>
      </c>
      <c r="H48" s="1" t="s">
        <v>56</v>
      </c>
      <c r="J48" t="s">
        <v>177</v>
      </c>
      <c r="K48" t="s">
        <v>178</v>
      </c>
      <c r="L48" t="str">
        <f t="shared" si="0"/>
        <v>Tunde.Salisu@dame.com</v>
      </c>
      <c r="M48">
        <f>LEN(Table1[[#This Row],[Full Name]])</f>
        <v>12</v>
      </c>
      <c r="N48" t="str">
        <f>UPPER(Table1[[#This Row],[Department]])</f>
        <v>HR</v>
      </c>
      <c r="O48" t="str">
        <f>LOWER(Table1[[#This Row],[Department]])</f>
        <v>hr</v>
      </c>
      <c r="P48" t="str">
        <f>PROPER(Table1[[#This Row],[Department]])</f>
        <v>Hr</v>
      </c>
      <c r="Q48" t="str">
        <f>TRIM(Table1[[#This Row],[Full Name]])</f>
        <v>Tunde Salisu</v>
      </c>
    </row>
    <row r="49" spans="1:17" ht="16.5" customHeight="1" x14ac:dyDescent="0.25">
      <c r="A49" s="1" t="s">
        <v>117</v>
      </c>
      <c r="B49" s="1" t="s">
        <v>118</v>
      </c>
      <c r="C49" s="1" t="s">
        <v>71</v>
      </c>
      <c r="D49" s="1" t="s">
        <v>62</v>
      </c>
      <c r="E49" s="1" t="s">
        <v>48</v>
      </c>
      <c r="F49" s="5">
        <v>326652</v>
      </c>
      <c r="G49" s="1">
        <v>6</v>
      </c>
      <c r="H49" s="1" t="s">
        <v>56</v>
      </c>
      <c r="J49" t="s">
        <v>189</v>
      </c>
      <c r="K49" t="s">
        <v>190</v>
      </c>
      <c r="L49" t="str">
        <f t="shared" si="0"/>
        <v>Emeka.John@dame.com</v>
      </c>
      <c r="M49">
        <f>LEN(Table1[[#This Row],[Full Name]])</f>
        <v>10</v>
      </c>
      <c r="N49" t="str">
        <f>UPPER(Table1[[#This Row],[Department]])</f>
        <v>HR</v>
      </c>
      <c r="O49" t="str">
        <f>LOWER(Table1[[#This Row],[Department]])</f>
        <v>hr</v>
      </c>
      <c r="P49" t="str">
        <f>PROPER(Table1[[#This Row],[Department]])</f>
        <v>Hr</v>
      </c>
      <c r="Q49" t="str">
        <f>TRIM(Table1[[#This Row],[Full Name]])</f>
        <v>Emeka John</v>
      </c>
    </row>
    <row r="50" spans="1:17" ht="16.5" customHeight="1" x14ac:dyDescent="0.25">
      <c r="A50" s="1" t="s">
        <v>119</v>
      </c>
      <c r="B50" s="1" t="s">
        <v>40</v>
      </c>
      <c r="C50" s="1" t="s">
        <v>71</v>
      </c>
      <c r="D50" s="1" t="s">
        <v>79</v>
      </c>
      <c r="E50" s="1" t="s">
        <v>48</v>
      </c>
      <c r="F50" s="5">
        <v>421377</v>
      </c>
      <c r="G50" s="1">
        <v>4</v>
      </c>
      <c r="H50" s="1" t="s">
        <v>44</v>
      </c>
      <c r="J50" t="s">
        <v>171</v>
      </c>
      <c r="K50" t="s">
        <v>172</v>
      </c>
      <c r="L50" t="str">
        <f t="shared" si="0"/>
        <v>Sade.Bassey@dame.com</v>
      </c>
      <c r="M50">
        <f>LEN(Table1[[#This Row],[Full Name]])</f>
        <v>11</v>
      </c>
      <c r="N50" t="str">
        <f>UPPER(Table1[[#This Row],[Department]])</f>
        <v>HR</v>
      </c>
      <c r="O50" t="str">
        <f>LOWER(Table1[[#This Row],[Department]])</f>
        <v>hr</v>
      </c>
      <c r="P50" t="str">
        <f>PROPER(Table1[[#This Row],[Department]])</f>
        <v>Hr</v>
      </c>
      <c r="Q50" t="str">
        <f>TRIM(Table1[[#This Row],[Full Name]])</f>
        <v>Sade Bassey</v>
      </c>
    </row>
    <row r="51" spans="1:17" ht="16.5" customHeight="1" x14ac:dyDescent="0.25">
      <c r="A51" s="1" t="s">
        <v>120</v>
      </c>
      <c r="B51" s="1" t="s">
        <v>118</v>
      </c>
      <c r="C51" s="1" t="s">
        <v>54</v>
      </c>
      <c r="D51" s="1" t="s">
        <v>47</v>
      </c>
      <c r="E51" s="1" t="s">
        <v>43</v>
      </c>
      <c r="F51" s="5">
        <v>433017</v>
      </c>
      <c r="G51" s="1">
        <v>3</v>
      </c>
      <c r="H51" s="1" t="s">
        <v>49</v>
      </c>
      <c r="J51" t="s">
        <v>189</v>
      </c>
      <c r="K51" t="s">
        <v>190</v>
      </c>
      <c r="L51" t="str">
        <f t="shared" si="0"/>
        <v>Emeka.John@dame.com</v>
      </c>
      <c r="M51">
        <f>LEN(Table1[[#This Row],[Full Name]])</f>
        <v>10</v>
      </c>
      <c r="N51" t="str">
        <f>UPPER(Table1[[#This Row],[Department]])</f>
        <v>FINANCE</v>
      </c>
      <c r="O51" t="str">
        <f>LOWER(Table1[[#This Row],[Department]])</f>
        <v>finance</v>
      </c>
      <c r="P51" t="str">
        <f>PROPER(Table1[[#This Row],[Department]])</f>
        <v>Finance</v>
      </c>
      <c r="Q51" t="str">
        <f>TRIM(Table1[[#This Row],[Full Name]])</f>
        <v>Emeka John</v>
      </c>
    </row>
    <row r="52" spans="1:17" ht="16.5" customHeight="1" x14ac:dyDescent="0.25">
      <c r="A52" s="1" t="s">
        <v>121</v>
      </c>
      <c r="B52" s="1" t="s">
        <v>64</v>
      </c>
      <c r="C52" s="1" t="s">
        <v>71</v>
      </c>
      <c r="D52" s="1" t="s">
        <v>76</v>
      </c>
      <c r="E52" s="1" t="s">
        <v>43</v>
      </c>
      <c r="F52" s="5">
        <v>353050</v>
      </c>
      <c r="G52" s="1">
        <v>7</v>
      </c>
      <c r="H52" s="1" t="s">
        <v>56</v>
      </c>
      <c r="J52" t="s">
        <v>179</v>
      </c>
      <c r="K52" t="s">
        <v>180</v>
      </c>
      <c r="L52" t="str">
        <f t="shared" si="0"/>
        <v>James.Obi@dame.com</v>
      </c>
      <c r="M52">
        <f>LEN(Table1[[#This Row],[Full Name]])</f>
        <v>9</v>
      </c>
      <c r="N52" t="str">
        <f>UPPER(Table1[[#This Row],[Department]])</f>
        <v>HR</v>
      </c>
      <c r="O52" t="str">
        <f>LOWER(Table1[[#This Row],[Department]])</f>
        <v>hr</v>
      </c>
      <c r="P52" t="str">
        <f>PROPER(Table1[[#This Row],[Department]])</f>
        <v>Hr</v>
      </c>
      <c r="Q52" t="str">
        <f>TRIM(Table1[[#This Row],[Full Name]])</f>
        <v>James Obi</v>
      </c>
    </row>
    <row r="53" spans="1:17" ht="16.5" customHeight="1" x14ac:dyDescent="0.25">
      <c r="A53" s="1" t="s">
        <v>122</v>
      </c>
      <c r="B53" s="1" t="s">
        <v>94</v>
      </c>
      <c r="C53" s="1" t="s">
        <v>41</v>
      </c>
      <c r="D53" s="1" t="s">
        <v>47</v>
      </c>
      <c r="E53" s="1" t="s">
        <v>43</v>
      </c>
      <c r="F53" s="5">
        <v>450941</v>
      </c>
      <c r="G53" s="1">
        <v>3</v>
      </c>
      <c r="H53" s="1" t="s">
        <v>56</v>
      </c>
      <c r="J53" t="s">
        <v>187</v>
      </c>
      <c r="K53" t="s">
        <v>188</v>
      </c>
      <c r="L53" t="str">
        <f t="shared" si="0"/>
        <v>Ngozi.Bello@dame.com</v>
      </c>
      <c r="M53">
        <f>LEN(Table1[[#This Row],[Full Name]])</f>
        <v>11</v>
      </c>
      <c r="N53" t="str">
        <f>UPPER(Table1[[#This Row],[Department]])</f>
        <v>IT</v>
      </c>
      <c r="O53" t="str">
        <f>LOWER(Table1[[#This Row],[Department]])</f>
        <v>it</v>
      </c>
      <c r="P53" t="str">
        <f>PROPER(Table1[[#This Row],[Department]])</f>
        <v>It</v>
      </c>
      <c r="Q53" t="str">
        <f>TRIM(Table1[[#This Row],[Full Name]])</f>
        <v>Ngozi Bello</v>
      </c>
    </row>
    <row r="54" spans="1:17" ht="16.5" customHeight="1" x14ac:dyDescent="0.25">
      <c r="A54" s="1" t="s">
        <v>123</v>
      </c>
      <c r="B54" s="1" t="s">
        <v>51</v>
      </c>
      <c r="C54" s="1" t="s">
        <v>54</v>
      </c>
      <c r="D54" s="1" t="s">
        <v>76</v>
      </c>
      <c r="E54" s="1" t="s">
        <v>43</v>
      </c>
      <c r="F54" s="5">
        <v>337560</v>
      </c>
      <c r="G54" s="1">
        <v>2</v>
      </c>
      <c r="H54" s="1" t="s">
        <v>49</v>
      </c>
      <c r="J54" t="s">
        <v>173</v>
      </c>
      <c r="K54" t="s">
        <v>174</v>
      </c>
      <c r="L54" t="str">
        <f t="shared" si="0"/>
        <v>Faith.Udo@dame.com</v>
      </c>
      <c r="M54">
        <f>LEN(Table1[[#This Row],[Full Name]])</f>
        <v>9</v>
      </c>
      <c r="N54" t="str">
        <f>UPPER(Table1[[#This Row],[Department]])</f>
        <v>FINANCE</v>
      </c>
      <c r="O54" t="str">
        <f>LOWER(Table1[[#This Row],[Department]])</f>
        <v>finance</v>
      </c>
      <c r="P54" t="str">
        <f>PROPER(Table1[[#This Row],[Department]])</f>
        <v>Finance</v>
      </c>
      <c r="Q54" t="str">
        <f>TRIM(Table1[[#This Row],[Full Name]])</f>
        <v>Faith Udo</v>
      </c>
    </row>
    <row r="55" spans="1:17" ht="16.5" customHeight="1" x14ac:dyDescent="0.25">
      <c r="A55" s="1" t="s">
        <v>124</v>
      </c>
      <c r="B55" s="1" t="s">
        <v>40</v>
      </c>
      <c r="C55" s="1" t="s">
        <v>52</v>
      </c>
      <c r="D55" s="1" t="s">
        <v>90</v>
      </c>
      <c r="E55" s="1" t="s">
        <v>48</v>
      </c>
      <c r="F55" s="5">
        <v>325849</v>
      </c>
      <c r="G55" s="1">
        <v>2</v>
      </c>
      <c r="H55" s="1" t="s">
        <v>59</v>
      </c>
      <c r="J55" t="s">
        <v>171</v>
      </c>
      <c r="K55" t="s">
        <v>172</v>
      </c>
      <c r="L55" t="str">
        <f t="shared" si="0"/>
        <v>Sade.Bassey@dame.com</v>
      </c>
      <c r="M55">
        <f>LEN(Table1[[#This Row],[Full Name]])</f>
        <v>11</v>
      </c>
      <c r="N55" t="str">
        <f>UPPER(Table1[[#This Row],[Department]])</f>
        <v>SALES</v>
      </c>
      <c r="O55" t="str">
        <f>LOWER(Table1[[#This Row],[Department]])</f>
        <v>sales</v>
      </c>
      <c r="P55" t="str">
        <f>PROPER(Table1[[#This Row],[Department]])</f>
        <v>Sales</v>
      </c>
      <c r="Q55" t="str">
        <f>TRIM(Table1[[#This Row],[Full Name]])</f>
        <v>Sade Bassey</v>
      </c>
    </row>
    <row r="56" spans="1:17" ht="16.5" customHeight="1" x14ac:dyDescent="0.25">
      <c r="A56" s="1" t="s">
        <v>125</v>
      </c>
      <c r="B56" s="1" t="s">
        <v>118</v>
      </c>
      <c r="C56" s="1" t="s">
        <v>46</v>
      </c>
      <c r="D56" s="1" t="s">
        <v>90</v>
      </c>
      <c r="E56" s="1" t="s">
        <v>48</v>
      </c>
      <c r="F56" s="5">
        <v>252488</v>
      </c>
      <c r="G56" s="1">
        <v>5</v>
      </c>
      <c r="H56" s="1" t="s">
        <v>56</v>
      </c>
      <c r="J56" t="s">
        <v>189</v>
      </c>
      <c r="K56" t="s">
        <v>190</v>
      </c>
      <c r="L56" t="str">
        <f t="shared" si="0"/>
        <v>Emeka.John@dame.com</v>
      </c>
      <c r="M56">
        <f>LEN(Table1[[#This Row],[Full Name]])</f>
        <v>10</v>
      </c>
      <c r="N56" t="str">
        <f>UPPER(Table1[[#This Row],[Department]])</f>
        <v>MARKETING</v>
      </c>
      <c r="O56" t="str">
        <f>LOWER(Table1[[#This Row],[Department]])</f>
        <v>marketing</v>
      </c>
      <c r="P56" t="str">
        <f>PROPER(Table1[[#This Row],[Department]])</f>
        <v>Marketing</v>
      </c>
      <c r="Q56" t="str">
        <f>TRIM(Table1[[#This Row],[Full Name]])</f>
        <v>Emeka John</v>
      </c>
    </row>
    <row r="57" spans="1:17" ht="16.5" customHeight="1" x14ac:dyDescent="0.25">
      <c r="A57" s="1" t="s">
        <v>126</v>
      </c>
      <c r="B57" s="1" t="s">
        <v>118</v>
      </c>
      <c r="C57" s="1" t="s">
        <v>54</v>
      </c>
      <c r="D57" s="1" t="s">
        <v>73</v>
      </c>
      <c r="E57" s="1" t="s">
        <v>48</v>
      </c>
      <c r="F57" s="5">
        <v>261616</v>
      </c>
      <c r="G57" s="1">
        <v>2</v>
      </c>
      <c r="H57" s="1" t="s">
        <v>49</v>
      </c>
      <c r="J57" t="s">
        <v>189</v>
      </c>
      <c r="K57" t="s">
        <v>190</v>
      </c>
      <c r="L57" t="str">
        <f t="shared" si="0"/>
        <v>Emeka.John@dame.com</v>
      </c>
      <c r="M57">
        <f>LEN(Table1[[#This Row],[Full Name]])</f>
        <v>10</v>
      </c>
      <c r="N57" t="str">
        <f>UPPER(Table1[[#This Row],[Department]])</f>
        <v>FINANCE</v>
      </c>
      <c r="O57" t="str">
        <f>LOWER(Table1[[#This Row],[Department]])</f>
        <v>finance</v>
      </c>
      <c r="P57" t="str">
        <f>PROPER(Table1[[#This Row],[Department]])</f>
        <v>Finance</v>
      </c>
      <c r="Q57" t="str">
        <f>TRIM(Table1[[#This Row],[Full Name]])</f>
        <v>Emeka John</v>
      </c>
    </row>
    <row r="58" spans="1:17" ht="16.5" customHeight="1" x14ac:dyDescent="0.25">
      <c r="A58" s="1" t="s">
        <v>127</v>
      </c>
      <c r="B58" s="1" t="s">
        <v>64</v>
      </c>
      <c r="C58" s="1" t="s">
        <v>46</v>
      </c>
      <c r="D58" s="1" t="s">
        <v>73</v>
      </c>
      <c r="E58" s="1" t="s">
        <v>43</v>
      </c>
      <c r="F58" s="5">
        <v>296968</v>
      </c>
      <c r="G58" s="1">
        <v>4</v>
      </c>
      <c r="H58" s="1" t="s">
        <v>49</v>
      </c>
      <c r="J58" t="s">
        <v>179</v>
      </c>
      <c r="K58" t="s">
        <v>180</v>
      </c>
      <c r="L58" t="str">
        <f t="shared" si="0"/>
        <v>James.Obi@dame.com</v>
      </c>
      <c r="M58">
        <f>LEN(Table1[[#This Row],[Full Name]])</f>
        <v>9</v>
      </c>
      <c r="N58" t="str">
        <f>UPPER(Table1[[#This Row],[Department]])</f>
        <v>MARKETING</v>
      </c>
      <c r="O58" t="str">
        <f>LOWER(Table1[[#This Row],[Department]])</f>
        <v>marketing</v>
      </c>
      <c r="P58" t="str">
        <f>PROPER(Table1[[#This Row],[Department]])</f>
        <v>Marketing</v>
      </c>
      <c r="Q58" t="str">
        <f>TRIM(Table1[[#This Row],[Full Name]])</f>
        <v>James Obi</v>
      </c>
    </row>
    <row r="59" spans="1:17" ht="16.5" customHeight="1" x14ac:dyDescent="0.25">
      <c r="A59" s="1" t="s">
        <v>128</v>
      </c>
      <c r="B59" s="1" t="s">
        <v>118</v>
      </c>
      <c r="C59" s="1" t="s">
        <v>41</v>
      </c>
      <c r="D59" s="1" t="s">
        <v>73</v>
      </c>
      <c r="E59" s="1" t="s">
        <v>48</v>
      </c>
      <c r="F59" s="5">
        <v>369656</v>
      </c>
      <c r="G59" s="1">
        <v>8</v>
      </c>
      <c r="H59" s="1" t="s">
        <v>56</v>
      </c>
      <c r="J59" t="s">
        <v>189</v>
      </c>
      <c r="K59" t="s">
        <v>190</v>
      </c>
      <c r="L59" t="str">
        <f t="shared" si="0"/>
        <v>Emeka.John@dame.com</v>
      </c>
      <c r="M59">
        <f>LEN(Table1[[#This Row],[Full Name]])</f>
        <v>10</v>
      </c>
      <c r="N59" t="str">
        <f>UPPER(Table1[[#This Row],[Department]])</f>
        <v>IT</v>
      </c>
      <c r="O59" t="str">
        <f>LOWER(Table1[[#This Row],[Department]])</f>
        <v>it</v>
      </c>
      <c r="P59" t="str">
        <f>PROPER(Table1[[#This Row],[Department]])</f>
        <v>It</v>
      </c>
      <c r="Q59" t="str">
        <f>TRIM(Table1[[#This Row],[Full Name]])</f>
        <v>Emeka John</v>
      </c>
    </row>
    <row r="60" spans="1:17" ht="16.5" customHeight="1" x14ac:dyDescent="0.25">
      <c r="A60" s="1" t="s">
        <v>129</v>
      </c>
      <c r="B60" s="1" t="s">
        <v>94</v>
      </c>
      <c r="C60" s="1" t="s">
        <v>46</v>
      </c>
      <c r="D60" s="1" t="s">
        <v>62</v>
      </c>
      <c r="E60" s="1" t="s">
        <v>43</v>
      </c>
      <c r="F60" s="5">
        <v>385249</v>
      </c>
      <c r="G60" s="1">
        <v>3</v>
      </c>
      <c r="H60" s="1" t="s">
        <v>49</v>
      </c>
      <c r="J60" t="s">
        <v>187</v>
      </c>
      <c r="K60" t="s">
        <v>188</v>
      </c>
      <c r="L60" t="str">
        <f t="shared" si="0"/>
        <v>Ngozi.Bello@dame.com</v>
      </c>
      <c r="M60">
        <f>LEN(Table1[[#This Row],[Full Name]])</f>
        <v>11</v>
      </c>
      <c r="N60" t="str">
        <f>UPPER(Table1[[#This Row],[Department]])</f>
        <v>MARKETING</v>
      </c>
      <c r="O60" t="str">
        <f>LOWER(Table1[[#This Row],[Department]])</f>
        <v>marketing</v>
      </c>
      <c r="P60" t="str">
        <f>PROPER(Table1[[#This Row],[Department]])</f>
        <v>Marketing</v>
      </c>
      <c r="Q60" t="str">
        <f>TRIM(Table1[[#This Row],[Full Name]])</f>
        <v>Ngozi Bello</v>
      </c>
    </row>
    <row r="61" spans="1:17" ht="16.5" customHeight="1" x14ac:dyDescent="0.25">
      <c r="A61" s="1" t="s">
        <v>130</v>
      </c>
      <c r="B61" s="1" t="s">
        <v>51</v>
      </c>
      <c r="C61" s="1" t="s">
        <v>41</v>
      </c>
      <c r="D61" s="1" t="s">
        <v>90</v>
      </c>
      <c r="E61" s="1" t="s">
        <v>43</v>
      </c>
      <c r="F61" s="5">
        <v>485946</v>
      </c>
      <c r="G61" s="1">
        <v>4</v>
      </c>
      <c r="H61" s="1" t="s">
        <v>59</v>
      </c>
      <c r="J61" t="s">
        <v>173</v>
      </c>
      <c r="K61" t="s">
        <v>174</v>
      </c>
      <c r="L61" t="str">
        <f t="shared" si="0"/>
        <v>Faith.Udo@dame.com</v>
      </c>
      <c r="M61">
        <f>LEN(Table1[[#This Row],[Full Name]])</f>
        <v>9</v>
      </c>
      <c r="N61" t="str">
        <f>UPPER(Table1[[#This Row],[Department]])</f>
        <v>IT</v>
      </c>
      <c r="O61" t="str">
        <f>LOWER(Table1[[#This Row],[Department]])</f>
        <v>it</v>
      </c>
      <c r="P61" t="str">
        <f>PROPER(Table1[[#This Row],[Department]])</f>
        <v>It</v>
      </c>
      <c r="Q61" t="str">
        <f>TRIM(Table1[[#This Row],[Full Name]])</f>
        <v>Faith Udo</v>
      </c>
    </row>
    <row r="62" spans="1:17" ht="16.5" customHeight="1" x14ac:dyDescent="0.25">
      <c r="A62" s="1" t="s">
        <v>131</v>
      </c>
      <c r="B62" s="1" t="s">
        <v>94</v>
      </c>
      <c r="C62" s="1" t="s">
        <v>54</v>
      </c>
      <c r="D62" s="1" t="s">
        <v>47</v>
      </c>
      <c r="E62" s="1" t="s">
        <v>48</v>
      </c>
      <c r="F62" s="5">
        <v>481575</v>
      </c>
      <c r="G62" s="1">
        <v>3</v>
      </c>
      <c r="H62" s="1" t="s">
        <v>49</v>
      </c>
      <c r="J62" t="s">
        <v>187</v>
      </c>
      <c r="K62" t="s">
        <v>188</v>
      </c>
      <c r="L62" t="str">
        <f t="shared" si="0"/>
        <v>Ngozi.Bello@dame.com</v>
      </c>
      <c r="M62">
        <f>LEN(Table1[[#This Row],[Full Name]])</f>
        <v>11</v>
      </c>
      <c r="N62" t="str">
        <f>UPPER(Table1[[#This Row],[Department]])</f>
        <v>FINANCE</v>
      </c>
      <c r="O62" t="str">
        <f>LOWER(Table1[[#This Row],[Department]])</f>
        <v>finance</v>
      </c>
      <c r="P62" t="str">
        <f>PROPER(Table1[[#This Row],[Department]])</f>
        <v>Finance</v>
      </c>
      <c r="Q62" t="str">
        <f>TRIM(Table1[[#This Row],[Full Name]])</f>
        <v>Ngozi Bello</v>
      </c>
    </row>
    <row r="63" spans="1:17" ht="16.5" customHeight="1" x14ac:dyDescent="0.25">
      <c r="A63" s="1" t="s">
        <v>132</v>
      </c>
      <c r="B63" s="1" t="s">
        <v>75</v>
      </c>
      <c r="C63" s="1" t="s">
        <v>41</v>
      </c>
      <c r="D63" s="1" t="s">
        <v>47</v>
      </c>
      <c r="E63" s="1" t="s">
        <v>48</v>
      </c>
      <c r="F63" s="5">
        <v>345273</v>
      </c>
      <c r="G63" s="1">
        <v>6</v>
      </c>
      <c r="H63" s="1" t="s">
        <v>49</v>
      </c>
      <c r="J63" t="s">
        <v>183</v>
      </c>
      <c r="K63" t="s">
        <v>184</v>
      </c>
      <c r="L63" t="str">
        <f t="shared" si="0"/>
        <v>Chika.Umeh@dame.com</v>
      </c>
      <c r="M63">
        <f>LEN(Table1[[#This Row],[Full Name]])</f>
        <v>10</v>
      </c>
      <c r="N63" t="str">
        <f>UPPER(Table1[[#This Row],[Department]])</f>
        <v>IT</v>
      </c>
      <c r="O63" t="str">
        <f>LOWER(Table1[[#This Row],[Department]])</f>
        <v>it</v>
      </c>
      <c r="P63" t="str">
        <f>PROPER(Table1[[#This Row],[Department]])</f>
        <v>It</v>
      </c>
      <c r="Q63" t="str">
        <f>TRIM(Table1[[#This Row],[Full Name]])</f>
        <v>Chika Umeh</v>
      </c>
    </row>
    <row r="64" spans="1:17" ht="16.5" customHeight="1" x14ac:dyDescent="0.25">
      <c r="A64" s="1" t="s">
        <v>133</v>
      </c>
      <c r="B64" s="1" t="s">
        <v>85</v>
      </c>
      <c r="C64" s="1" t="s">
        <v>41</v>
      </c>
      <c r="D64" s="1" t="s">
        <v>68</v>
      </c>
      <c r="E64" s="1" t="s">
        <v>48</v>
      </c>
      <c r="F64" s="5">
        <v>201172</v>
      </c>
      <c r="G64" s="1">
        <v>8</v>
      </c>
      <c r="H64" s="1" t="s">
        <v>59</v>
      </c>
      <c r="J64" t="s">
        <v>185</v>
      </c>
      <c r="K64" t="s">
        <v>186</v>
      </c>
      <c r="L64" t="str">
        <f t="shared" si="0"/>
        <v>Maria.Okafor@dame.com</v>
      </c>
      <c r="M64">
        <f>LEN(Table1[[#This Row],[Full Name]])</f>
        <v>12</v>
      </c>
      <c r="N64" t="str">
        <f>UPPER(Table1[[#This Row],[Department]])</f>
        <v>IT</v>
      </c>
      <c r="O64" t="str">
        <f>LOWER(Table1[[#This Row],[Department]])</f>
        <v>it</v>
      </c>
      <c r="P64" t="str">
        <f>PROPER(Table1[[#This Row],[Department]])</f>
        <v>It</v>
      </c>
      <c r="Q64" t="str">
        <f>TRIM(Table1[[#This Row],[Full Name]])</f>
        <v>Maria Okafor</v>
      </c>
    </row>
    <row r="65" spans="1:17" ht="16.5" customHeight="1" x14ac:dyDescent="0.25">
      <c r="A65" s="1" t="s">
        <v>134</v>
      </c>
      <c r="B65" s="1" t="s">
        <v>61</v>
      </c>
      <c r="C65" s="1" t="s">
        <v>46</v>
      </c>
      <c r="D65" s="1" t="s">
        <v>55</v>
      </c>
      <c r="E65" s="1" t="s">
        <v>48</v>
      </c>
      <c r="F65" s="5">
        <v>321800</v>
      </c>
      <c r="G65" s="1">
        <v>7</v>
      </c>
      <c r="H65" s="1" t="s">
        <v>44</v>
      </c>
      <c r="J65" t="s">
        <v>177</v>
      </c>
      <c r="K65" t="s">
        <v>178</v>
      </c>
      <c r="L65" t="str">
        <f t="shared" si="0"/>
        <v>Tunde.Salisu@dame.com</v>
      </c>
      <c r="M65">
        <f>LEN(Table1[[#This Row],[Full Name]])</f>
        <v>12</v>
      </c>
      <c r="N65" t="str">
        <f>UPPER(Table1[[#This Row],[Department]])</f>
        <v>MARKETING</v>
      </c>
      <c r="O65" t="str">
        <f>LOWER(Table1[[#This Row],[Department]])</f>
        <v>marketing</v>
      </c>
      <c r="P65" t="str">
        <f>PROPER(Table1[[#This Row],[Department]])</f>
        <v>Marketing</v>
      </c>
      <c r="Q65" t="str">
        <f>TRIM(Table1[[#This Row],[Full Name]])</f>
        <v>Tunde Salisu</v>
      </c>
    </row>
    <row r="66" spans="1:17" ht="16.5" customHeight="1" x14ac:dyDescent="0.25">
      <c r="A66" s="1" t="s">
        <v>135</v>
      </c>
      <c r="B66" s="1" t="s">
        <v>58</v>
      </c>
      <c r="C66" s="1" t="s">
        <v>52</v>
      </c>
      <c r="D66" s="1" t="s">
        <v>87</v>
      </c>
      <c r="E66" s="1" t="s">
        <v>48</v>
      </c>
      <c r="F66" s="5">
        <v>478662</v>
      </c>
      <c r="G66" s="1">
        <v>2</v>
      </c>
      <c r="H66" s="1" t="s">
        <v>59</v>
      </c>
      <c r="J66" t="s">
        <v>175</v>
      </c>
      <c r="K66" t="s">
        <v>176</v>
      </c>
      <c r="L66" t="str">
        <f t="shared" si="0"/>
        <v>Ibrahim.Musa@dame.com</v>
      </c>
      <c r="M66">
        <f>LEN(Table1[[#This Row],[Full Name]])</f>
        <v>12</v>
      </c>
      <c r="N66" t="str">
        <f>UPPER(Table1[[#This Row],[Department]])</f>
        <v>SALES</v>
      </c>
      <c r="O66" t="str">
        <f>LOWER(Table1[[#This Row],[Department]])</f>
        <v>sales</v>
      </c>
      <c r="P66" t="str">
        <f>PROPER(Table1[[#This Row],[Department]])</f>
        <v>Sales</v>
      </c>
      <c r="Q66" t="str">
        <f>TRIM(Table1[[#This Row],[Full Name]])</f>
        <v>Ibrahim Musa</v>
      </c>
    </row>
    <row r="67" spans="1:17" ht="16.5" customHeight="1" x14ac:dyDescent="0.25">
      <c r="A67" s="1" t="s">
        <v>136</v>
      </c>
      <c r="B67" s="1" t="s">
        <v>64</v>
      </c>
      <c r="C67" s="1" t="s">
        <v>71</v>
      </c>
      <c r="D67" s="1" t="s">
        <v>87</v>
      </c>
      <c r="E67" s="1" t="s">
        <v>48</v>
      </c>
      <c r="F67" s="5">
        <v>447144</v>
      </c>
      <c r="G67" s="1">
        <v>10</v>
      </c>
      <c r="H67" s="1" t="s">
        <v>66</v>
      </c>
      <c r="J67" t="s">
        <v>179</v>
      </c>
      <c r="K67" t="s">
        <v>180</v>
      </c>
      <c r="L67" t="str">
        <f t="shared" ref="L67:L101" si="1">CONCATENATE(J67,".",K67,"@","dame",".","com")</f>
        <v>James.Obi@dame.com</v>
      </c>
      <c r="M67">
        <f>LEN(Table1[[#This Row],[Full Name]])</f>
        <v>9</v>
      </c>
      <c r="N67" t="str">
        <f>UPPER(Table1[[#This Row],[Department]])</f>
        <v>HR</v>
      </c>
      <c r="O67" t="str">
        <f>LOWER(Table1[[#This Row],[Department]])</f>
        <v>hr</v>
      </c>
      <c r="P67" t="str">
        <f>PROPER(Table1[[#This Row],[Department]])</f>
        <v>Hr</v>
      </c>
      <c r="Q67" t="str">
        <f>TRIM(Table1[[#This Row],[Full Name]])</f>
        <v>James Obi</v>
      </c>
    </row>
    <row r="68" spans="1:17" ht="16.5" customHeight="1" x14ac:dyDescent="0.25">
      <c r="A68" s="1" t="s">
        <v>137</v>
      </c>
      <c r="B68" s="1" t="s">
        <v>51</v>
      </c>
      <c r="C68" s="1" t="s">
        <v>54</v>
      </c>
      <c r="D68" s="1" t="s">
        <v>76</v>
      </c>
      <c r="E68" s="1" t="s">
        <v>48</v>
      </c>
      <c r="F68" s="5">
        <v>367942</v>
      </c>
      <c r="G68" s="1">
        <v>8</v>
      </c>
      <c r="H68" s="1" t="s">
        <v>44</v>
      </c>
      <c r="J68" t="s">
        <v>173</v>
      </c>
      <c r="K68" t="s">
        <v>174</v>
      </c>
      <c r="L68" t="str">
        <f t="shared" si="1"/>
        <v>Faith.Udo@dame.com</v>
      </c>
      <c r="M68">
        <f>LEN(Table1[[#This Row],[Full Name]])</f>
        <v>9</v>
      </c>
      <c r="N68" t="str">
        <f>UPPER(Table1[[#This Row],[Department]])</f>
        <v>FINANCE</v>
      </c>
      <c r="O68" t="str">
        <f>LOWER(Table1[[#This Row],[Department]])</f>
        <v>finance</v>
      </c>
      <c r="P68" t="str">
        <f>PROPER(Table1[[#This Row],[Department]])</f>
        <v>Finance</v>
      </c>
      <c r="Q68" t="str">
        <f>TRIM(Table1[[#This Row],[Full Name]])</f>
        <v>Faith Udo</v>
      </c>
    </row>
    <row r="69" spans="1:17" ht="16.5" customHeight="1" x14ac:dyDescent="0.25">
      <c r="A69" s="1" t="s">
        <v>138</v>
      </c>
      <c r="B69" s="1" t="s">
        <v>94</v>
      </c>
      <c r="C69" s="1" t="s">
        <v>52</v>
      </c>
      <c r="D69" s="1" t="s">
        <v>90</v>
      </c>
      <c r="E69" s="1" t="s">
        <v>43</v>
      </c>
      <c r="F69" s="5">
        <v>225459</v>
      </c>
      <c r="G69" s="1">
        <v>2</v>
      </c>
      <c r="H69" s="1" t="s">
        <v>59</v>
      </c>
      <c r="J69" t="s">
        <v>187</v>
      </c>
      <c r="K69" t="s">
        <v>188</v>
      </c>
      <c r="L69" t="str">
        <f t="shared" si="1"/>
        <v>Ngozi.Bello@dame.com</v>
      </c>
      <c r="M69">
        <f>LEN(Table1[[#This Row],[Full Name]])</f>
        <v>11</v>
      </c>
      <c r="N69" t="str">
        <f>UPPER(Table1[[#This Row],[Department]])</f>
        <v>SALES</v>
      </c>
      <c r="O69" t="str">
        <f>LOWER(Table1[[#This Row],[Department]])</f>
        <v>sales</v>
      </c>
      <c r="P69" t="str">
        <f>PROPER(Table1[[#This Row],[Department]])</f>
        <v>Sales</v>
      </c>
      <c r="Q69" t="str">
        <f>TRIM(Table1[[#This Row],[Full Name]])</f>
        <v>Ngozi Bello</v>
      </c>
    </row>
    <row r="70" spans="1:17" ht="16.5" customHeight="1" x14ac:dyDescent="0.25">
      <c r="A70" s="1" t="s">
        <v>139</v>
      </c>
      <c r="B70" s="1" t="s">
        <v>61</v>
      </c>
      <c r="C70" s="1" t="s">
        <v>41</v>
      </c>
      <c r="D70" s="1" t="s">
        <v>87</v>
      </c>
      <c r="E70" s="1" t="s">
        <v>43</v>
      </c>
      <c r="F70" s="5">
        <v>334185</v>
      </c>
      <c r="G70" s="1">
        <v>2</v>
      </c>
      <c r="H70" s="1" t="s">
        <v>44</v>
      </c>
      <c r="J70" t="s">
        <v>177</v>
      </c>
      <c r="K70" t="s">
        <v>178</v>
      </c>
      <c r="L70" t="str">
        <f t="shared" si="1"/>
        <v>Tunde.Salisu@dame.com</v>
      </c>
      <c r="M70">
        <f>LEN(Table1[[#This Row],[Full Name]])</f>
        <v>12</v>
      </c>
      <c r="N70" t="str">
        <f>UPPER(Table1[[#This Row],[Department]])</f>
        <v>IT</v>
      </c>
      <c r="O70" t="str">
        <f>LOWER(Table1[[#This Row],[Department]])</f>
        <v>it</v>
      </c>
      <c r="P70" t="str">
        <f>PROPER(Table1[[#This Row],[Department]])</f>
        <v>It</v>
      </c>
      <c r="Q70" t="str">
        <f>TRIM(Table1[[#This Row],[Full Name]])</f>
        <v>Tunde Salisu</v>
      </c>
    </row>
    <row r="71" spans="1:17" ht="16.5" customHeight="1" x14ac:dyDescent="0.25">
      <c r="A71" s="1" t="s">
        <v>140</v>
      </c>
      <c r="B71" s="1" t="s">
        <v>75</v>
      </c>
      <c r="C71" s="1" t="s">
        <v>41</v>
      </c>
      <c r="D71" s="1" t="s">
        <v>90</v>
      </c>
      <c r="E71" s="1" t="s">
        <v>48</v>
      </c>
      <c r="F71" s="5">
        <v>329104</v>
      </c>
      <c r="G71" s="1">
        <v>2</v>
      </c>
      <c r="H71" s="1" t="s">
        <v>56</v>
      </c>
      <c r="J71" t="s">
        <v>183</v>
      </c>
      <c r="K71" t="s">
        <v>184</v>
      </c>
      <c r="L71" t="str">
        <f t="shared" si="1"/>
        <v>Chika.Umeh@dame.com</v>
      </c>
      <c r="M71">
        <f>LEN(Table1[[#This Row],[Full Name]])</f>
        <v>10</v>
      </c>
      <c r="N71" t="str">
        <f>UPPER(Table1[[#This Row],[Department]])</f>
        <v>IT</v>
      </c>
      <c r="O71" t="str">
        <f>LOWER(Table1[[#This Row],[Department]])</f>
        <v>it</v>
      </c>
      <c r="P71" t="str">
        <f>PROPER(Table1[[#This Row],[Department]])</f>
        <v>It</v>
      </c>
      <c r="Q71" t="str">
        <f>TRIM(Table1[[#This Row],[Full Name]])</f>
        <v>Chika Umeh</v>
      </c>
    </row>
    <row r="72" spans="1:17" ht="16.5" customHeight="1" x14ac:dyDescent="0.25">
      <c r="A72" s="1" t="s">
        <v>141</v>
      </c>
      <c r="B72" s="1" t="s">
        <v>58</v>
      </c>
      <c r="C72" s="1" t="s">
        <v>41</v>
      </c>
      <c r="D72" s="1" t="s">
        <v>42</v>
      </c>
      <c r="E72" s="1" t="s">
        <v>48</v>
      </c>
      <c r="F72" s="5">
        <v>253559</v>
      </c>
      <c r="G72" s="1">
        <v>4</v>
      </c>
      <c r="H72" s="1" t="s">
        <v>66</v>
      </c>
      <c r="J72" t="s">
        <v>175</v>
      </c>
      <c r="K72" t="s">
        <v>176</v>
      </c>
      <c r="L72" t="str">
        <f t="shared" si="1"/>
        <v>Ibrahim.Musa@dame.com</v>
      </c>
      <c r="M72">
        <f>LEN(Table1[[#This Row],[Full Name]])</f>
        <v>12</v>
      </c>
      <c r="N72" t="str">
        <f>UPPER(Table1[[#This Row],[Department]])</f>
        <v>IT</v>
      </c>
      <c r="O72" t="str">
        <f>LOWER(Table1[[#This Row],[Department]])</f>
        <v>it</v>
      </c>
      <c r="P72" t="str">
        <f>PROPER(Table1[[#This Row],[Department]])</f>
        <v>It</v>
      </c>
      <c r="Q72" t="str">
        <f>TRIM(Table1[[#This Row],[Full Name]])</f>
        <v>Ibrahim Musa</v>
      </c>
    </row>
    <row r="73" spans="1:17" ht="16.5" customHeight="1" x14ac:dyDescent="0.25">
      <c r="A73" s="1" t="s">
        <v>142</v>
      </c>
      <c r="B73" s="1" t="s">
        <v>58</v>
      </c>
      <c r="C73" s="1" t="s">
        <v>46</v>
      </c>
      <c r="D73" s="1" t="s">
        <v>42</v>
      </c>
      <c r="E73" s="1" t="s">
        <v>43</v>
      </c>
      <c r="F73" s="5">
        <v>203632</v>
      </c>
      <c r="G73" s="1">
        <v>4</v>
      </c>
      <c r="H73" s="1" t="s">
        <v>49</v>
      </c>
      <c r="J73" t="s">
        <v>175</v>
      </c>
      <c r="K73" t="s">
        <v>176</v>
      </c>
      <c r="L73" t="str">
        <f t="shared" si="1"/>
        <v>Ibrahim.Musa@dame.com</v>
      </c>
      <c r="M73">
        <f>LEN(Table1[[#This Row],[Full Name]])</f>
        <v>12</v>
      </c>
      <c r="N73" t="str">
        <f>UPPER(Table1[[#This Row],[Department]])</f>
        <v>MARKETING</v>
      </c>
      <c r="O73" t="str">
        <f>LOWER(Table1[[#This Row],[Department]])</f>
        <v>marketing</v>
      </c>
      <c r="P73" t="str">
        <f>PROPER(Table1[[#This Row],[Department]])</f>
        <v>Marketing</v>
      </c>
      <c r="Q73" t="str">
        <f>TRIM(Table1[[#This Row],[Full Name]])</f>
        <v>Ibrahim Musa</v>
      </c>
    </row>
    <row r="74" spans="1:17" ht="16.5" customHeight="1" x14ac:dyDescent="0.25">
      <c r="A74" s="1" t="s">
        <v>143</v>
      </c>
      <c r="B74" s="1" t="s">
        <v>40</v>
      </c>
      <c r="C74" s="1" t="s">
        <v>41</v>
      </c>
      <c r="D74" s="1" t="s">
        <v>73</v>
      </c>
      <c r="E74" s="1" t="s">
        <v>48</v>
      </c>
      <c r="F74" s="5">
        <v>404012</v>
      </c>
      <c r="G74" s="1">
        <v>7</v>
      </c>
      <c r="H74" s="1" t="s">
        <v>59</v>
      </c>
      <c r="J74" t="s">
        <v>171</v>
      </c>
      <c r="K74" t="s">
        <v>172</v>
      </c>
      <c r="L74" t="str">
        <f t="shared" si="1"/>
        <v>Sade.Bassey@dame.com</v>
      </c>
      <c r="M74">
        <f>LEN(Table1[[#This Row],[Full Name]])</f>
        <v>11</v>
      </c>
      <c r="N74" t="str">
        <f>UPPER(Table1[[#This Row],[Department]])</f>
        <v>IT</v>
      </c>
      <c r="O74" t="str">
        <f>LOWER(Table1[[#This Row],[Department]])</f>
        <v>it</v>
      </c>
      <c r="P74" t="str">
        <f>PROPER(Table1[[#This Row],[Department]])</f>
        <v>It</v>
      </c>
      <c r="Q74" t="str">
        <f>TRIM(Table1[[#This Row],[Full Name]])</f>
        <v>Sade Bassey</v>
      </c>
    </row>
    <row r="75" spans="1:17" ht="16.5" customHeight="1" x14ac:dyDescent="0.25">
      <c r="A75" s="1" t="s">
        <v>144</v>
      </c>
      <c r="B75" s="1" t="s">
        <v>85</v>
      </c>
      <c r="C75" s="1" t="s">
        <v>41</v>
      </c>
      <c r="D75" s="1" t="s">
        <v>90</v>
      </c>
      <c r="E75" s="1" t="s">
        <v>43</v>
      </c>
      <c r="F75" s="5">
        <v>493395</v>
      </c>
      <c r="G75" s="1">
        <v>4</v>
      </c>
      <c r="H75" s="1" t="s">
        <v>44</v>
      </c>
      <c r="J75" t="s">
        <v>185</v>
      </c>
      <c r="K75" t="s">
        <v>186</v>
      </c>
      <c r="L75" t="str">
        <f t="shared" si="1"/>
        <v>Maria.Okafor@dame.com</v>
      </c>
      <c r="M75">
        <f>LEN(Table1[[#This Row],[Full Name]])</f>
        <v>12</v>
      </c>
      <c r="N75" t="str">
        <f>UPPER(Table1[[#This Row],[Department]])</f>
        <v>IT</v>
      </c>
      <c r="O75" t="str">
        <f>LOWER(Table1[[#This Row],[Department]])</f>
        <v>it</v>
      </c>
      <c r="P75" t="str">
        <f>PROPER(Table1[[#This Row],[Department]])</f>
        <v>It</v>
      </c>
      <c r="Q75" t="str">
        <f>TRIM(Table1[[#This Row],[Full Name]])</f>
        <v>Maria Okafor</v>
      </c>
    </row>
    <row r="76" spans="1:17" ht="16.5" customHeight="1" x14ac:dyDescent="0.25">
      <c r="A76" s="1" t="s">
        <v>145</v>
      </c>
      <c r="B76" s="1" t="s">
        <v>58</v>
      </c>
      <c r="C76" s="1" t="s">
        <v>52</v>
      </c>
      <c r="D76" s="1" t="s">
        <v>73</v>
      </c>
      <c r="E76" s="1" t="s">
        <v>43</v>
      </c>
      <c r="F76" s="5">
        <v>372679</v>
      </c>
      <c r="G76" s="1">
        <v>2</v>
      </c>
      <c r="H76" s="1" t="s">
        <v>44</v>
      </c>
      <c r="J76" t="s">
        <v>175</v>
      </c>
      <c r="K76" t="s">
        <v>176</v>
      </c>
      <c r="L76" t="str">
        <f t="shared" si="1"/>
        <v>Ibrahim.Musa@dame.com</v>
      </c>
      <c r="M76">
        <f>LEN(Table1[[#This Row],[Full Name]])</f>
        <v>12</v>
      </c>
      <c r="N76" t="str">
        <f>UPPER(Table1[[#This Row],[Department]])</f>
        <v>SALES</v>
      </c>
      <c r="O76" t="str">
        <f>LOWER(Table1[[#This Row],[Department]])</f>
        <v>sales</v>
      </c>
      <c r="P76" t="str">
        <f>PROPER(Table1[[#This Row],[Department]])</f>
        <v>Sales</v>
      </c>
      <c r="Q76" t="str">
        <f>TRIM(Table1[[#This Row],[Full Name]])</f>
        <v>Ibrahim Musa</v>
      </c>
    </row>
    <row r="77" spans="1:17" ht="16.5" customHeight="1" x14ac:dyDescent="0.25">
      <c r="A77" s="1" t="s">
        <v>146</v>
      </c>
      <c r="B77" s="1" t="s">
        <v>51</v>
      </c>
      <c r="C77" s="1" t="s">
        <v>71</v>
      </c>
      <c r="D77" s="1" t="s">
        <v>47</v>
      </c>
      <c r="E77" s="1" t="s">
        <v>48</v>
      </c>
      <c r="F77" s="5">
        <v>464770</v>
      </c>
      <c r="G77" s="1">
        <v>9</v>
      </c>
      <c r="H77" s="1" t="s">
        <v>44</v>
      </c>
      <c r="J77" t="s">
        <v>173</v>
      </c>
      <c r="K77" t="s">
        <v>174</v>
      </c>
      <c r="L77" t="str">
        <f t="shared" si="1"/>
        <v>Faith.Udo@dame.com</v>
      </c>
      <c r="M77">
        <f>LEN(Table1[[#This Row],[Full Name]])</f>
        <v>9</v>
      </c>
      <c r="N77" t="str">
        <f>UPPER(Table1[[#This Row],[Department]])</f>
        <v>HR</v>
      </c>
      <c r="O77" t="str">
        <f>LOWER(Table1[[#This Row],[Department]])</f>
        <v>hr</v>
      </c>
      <c r="P77" t="str">
        <f>PROPER(Table1[[#This Row],[Department]])</f>
        <v>Hr</v>
      </c>
      <c r="Q77" t="str">
        <f>TRIM(Table1[[#This Row],[Full Name]])</f>
        <v>Faith Udo</v>
      </c>
    </row>
    <row r="78" spans="1:17" ht="16.5" customHeight="1" x14ac:dyDescent="0.25">
      <c r="A78" s="1" t="s">
        <v>147</v>
      </c>
      <c r="B78" s="1" t="s">
        <v>85</v>
      </c>
      <c r="C78" s="1" t="s">
        <v>52</v>
      </c>
      <c r="D78" s="1" t="s">
        <v>87</v>
      </c>
      <c r="E78" s="1" t="s">
        <v>48</v>
      </c>
      <c r="F78" s="5">
        <v>360225</v>
      </c>
      <c r="G78" s="1">
        <v>3</v>
      </c>
      <c r="H78" s="1" t="s">
        <v>49</v>
      </c>
      <c r="J78" t="s">
        <v>185</v>
      </c>
      <c r="K78" t="s">
        <v>186</v>
      </c>
      <c r="L78" t="str">
        <f t="shared" si="1"/>
        <v>Maria.Okafor@dame.com</v>
      </c>
      <c r="M78">
        <f>LEN(Table1[[#This Row],[Full Name]])</f>
        <v>12</v>
      </c>
      <c r="N78" t="str">
        <f>UPPER(Table1[[#This Row],[Department]])</f>
        <v>SALES</v>
      </c>
      <c r="O78" t="str">
        <f>LOWER(Table1[[#This Row],[Department]])</f>
        <v>sales</v>
      </c>
      <c r="P78" t="str">
        <f>PROPER(Table1[[#This Row],[Department]])</f>
        <v>Sales</v>
      </c>
      <c r="Q78" t="str">
        <f>TRIM(Table1[[#This Row],[Full Name]])</f>
        <v>Maria Okafor</v>
      </c>
    </row>
    <row r="79" spans="1:17" ht="16.5" customHeight="1" x14ac:dyDescent="0.25">
      <c r="A79" s="1" t="s">
        <v>148</v>
      </c>
      <c r="B79" s="1" t="s">
        <v>58</v>
      </c>
      <c r="C79" s="1" t="s">
        <v>41</v>
      </c>
      <c r="D79" s="1" t="s">
        <v>76</v>
      </c>
      <c r="E79" s="1" t="s">
        <v>43</v>
      </c>
      <c r="F79" s="5">
        <v>422249</v>
      </c>
      <c r="G79" s="1">
        <v>10</v>
      </c>
      <c r="H79" s="1" t="s">
        <v>66</v>
      </c>
      <c r="J79" t="s">
        <v>175</v>
      </c>
      <c r="K79" t="s">
        <v>176</v>
      </c>
      <c r="L79" t="str">
        <f t="shared" si="1"/>
        <v>Ibrahim.Musa@dame.com</v>
      </c>
      <c r="M79">
        <f>LEN(Table1[[#This Row],[Full Name]])</f>
        <v>12</v>
      </c>
      <c r="N79" t="str">
        <f>UPPER(Table1[[#This Row],[Department]])</f>
        <v>IT</v>
      </c>
      <c r="O79" t="str">
        <f>LOWER(Table1[[#This Row],[Department]])</f>
        <v>it</v>
      </c>
      <c r="P79" t="str">
        <f>PROPER(Table1[[#This Row],[Department]])</f>
        <v>It</v>
      </c>
      <c r="Q79" t="str">
        <f>TRIM(Table1[[#This Row],[Full Name]])</f>
        <v>Ibrahim Musa</v>
      </c>
    </row>
    <row r="80" spans="1:17" ht="16.5" customHeight="1" x14ac:dyDescent="0.25">
      <c r="A80" s="1" t="s">
        <v>149</v>
      </c>
      <c r="B80" s="1" t="s">
        <v>61</v>
      </c>
      <c r="C80" s="1" t="s">
        <v>52</v>
      </c>
      <c r="D80" s="1" t="s">
        <v>90</v>
      </c>
      <c r="E80" s="1" t="s">
        <v>48</v>
      </c>
      <c r="F80" s="5">
        <v>343548</v>
      </c>
      <c r="G80" s="1">
        <v>7</v>
      </c>
      <c r="H80" s="1" t="s">
        <v>59</v>
      </c>
      <c r="J80" t="s">
        <v>177</v>
      </c>
      <c r="K80" t="s">
        <v>178</v>
      </c>
      <c r="L80" t="str">
        <f t="shared" si="1"/>
        <v>Tunde.Salisu@dame.com</v>
      </c>
      <c r="M80">
        <f>LEN(Table1[[#This Row],[Full Name]])</f>
        <v>12</v>
      </c>
      <c r="N80" t="str">
        <f>UPPER(Table1[[#This Row],[Department]])</f>
        <v>SALES</v>
      </c>
      <c r="O80" t="str">
        <f>LOWER(Table1[[#This Row],[Department]])</f>
        <v>sales</v>
      </c>
      <c r="P80" t="str">
        <f>PROPER(Table1[[#This Row],[Department]])</f>
        <v>Sales</v>
      </c>
      <c r="Q80" t="str">
        <f>TRIM(Table1[[#This Row],[Full Name]])</f>
        <v>Tunde Salisu</v>
      </c>
    </row>
    <row r="81" spans="1:17" ht="16.5" customHeight="1" x14ac:dyDescent="0.25">
      <c r="A81" s="1" t="s">
        <v>150</v>
      </c>
      <c r="B81" s="1" t="s">
        <v>75</v>
      </c>
      <c r="C81" s="1" t="s">
        <v>46</v>
      </c>
      <c r="D81" s="1" t="s">
        <v>47</v>
      </c>
      <c r="E81" s="1" t="s">
        <v>43</v>
      </c>
      <c r="F81" s="5">
        <v>429470</v>
      </c>
      <c r="G81" s="1">
        <v>3</v>
      </c>
      <c r="H81" s="1" t="s">
        <v>44</v>
      </c>
      <c r="J81" t="s">
        <v>183</v>
      </c>
      <c r="K81" t="s">
        <v>184</v>
      </c>
      <c r="L81" t="str">
        <f t="shared" si="1"/>
        <v>Chika.Umeh@dame.com</v>
      </c>
      <c r="M81">
        <f>LEN(Table1[[#This Row],[Full Name]])</f>
        <v>10</v>
      </c>
      <c r="N81" t="str">
        <f>UPPER(Table1[[#This Row],[Department]])</f>
        <v>MARKETING</v>
      </c>
      <c r="O81" t="str">
        <f>LOWER(Table1[[#This Row],[Department]])</f>
        <v>marketing</v>
      </c>
      <c r="P81" t="str">
        <f>PROPER(Table1[[#This Row],[Department]])</f>
        <v>Marketing</v>
      </c>
      <c r="Q81" t="str">
        <f>TRIM(Table1[[#This Row],[Full Name]])</f>
        <v>Chika Umeh</v>
      </c>
    </row>
    <row r="82" spans="1:17" ht="16.5" customHeight="1" x14ac:dyDescent="0.25">
      <c r="A82" s="1" t="s">
        <v>151</v>
      </c>
      <c r="B82" s="1" t="s">
        <v>85</v>
      </c>
      <c r="C82" s="1" t="s">
        <v>71</v>
      </c>
      <c r="D82" s="1" t="s">
        <v>62</v>
      </c>
      <c r="E82" s="1" t="s">
        <v>48</v>
      </c>
      <c r="F82" s="5">
        <v>228264</v>
      </c>
      <c r="G82" s="1">
        <v>5</v>
      </c>
      <c r="H82" s="1" t="s">
        <v>59</v>
      </c>
      <c r="J82" t="s">
        <v>185</v>
      </c>
      <c r="K82" t="s">
        <v>186</v>
      </c>
      <c r="L82" t="str">
        <f t="shared" si="1"/>
        <v>Maria.Okafor@dame.com</v>
      </c>
      <c r="M82">
        <f>LEN(Table1[[#This Row],[Full Name]])</f>
        <v>12</v>
      </c>
      <c r="N82" t="str">
        <f>UPPER(Table1[[#This Row],[Department]])</f>
        <v>HR</v>
      </c>
      <c r="O82" t="str">
        <f>LOWER(Table1[[#This Row],[Department]])</f>
        <v>hr</v>
      </c>
      <c r="P82" t="str">
        <f>PROPER(Table1[[#This Row],[Department]])</f>
        <v>Hr</v>
      </c>
      <c r="Q82" t="str">
        <f>TRIM(Table1[[#This Row],[Full Name]])</f>
        <v>Maria Okafor</v>
      </c>
    </row>
    <row r="83" spans="1:17" ht="16.5" customHeight="1" x14ac:dyDescent="0.25">
      <c r="A83" s="1" t="s">
        <v>152</v>
      </c>
      <c r="B83" s="1" t="s">
        <v>64</v>
      </c>
      <c r="C83" s="1" t="s">
        <v>52</v>
      </c>
      <c r="D83" s="1" t="s">
        <v>55</v>
      </c>
      <c r="E83" s="1" t="s">
        <v>43</v>
      </c>
      <c r="F83" s="5">
        <v>481733</v>
      </c>
      <c r="G83" s="1">
        <v>7</v>
      </c>
      <c r="H83" s="1" t="s">
        <v>49</v>
      </c>
      <c r="J83" t="s">
        <v>179</v>
      </c>
      <c r="K83" t="s">
        <v>180</v>
      </c>
      <c r="L83" t="str">
        <f t="shared" si="1"/>
        <v>James.Obi@dame.com</v>
      </c>
      <c r="M83">
        <f>LEN(Table1[[#This Row],[Full Name]])</f>
        <v>9</v>
      </c>
      <c r="N83" t="str">
        <f>UPPER(Table1[[#This Row],[Department]])</f>
        <v>SALES</v>
      </c>
      <c r="O83" t="str">
        <f>LOWER(Table1[[#This Row],[Department]])</f>
        <v>sales</v>
      </c>
      <c r="P83" t="str">
        <f>PROPER(Table1[[#This Row],[Department]])</f>
        <v>Sales</v>
      </c>
      <c r="Q83" t="str">
        <f>TRIM(Table1[[#This Row],[Full Name]])</f>
        <v>James Obi</v>
      </c>
    </row>
    <row r="84" spans="1:17" ht="16.5" customHeight="1" x14ac:dyDescent="0.25">
      <c r="A84" s="1" t="s">
        <v>153</v>
      </c>
      <c r="B84" s="1" t="s">
        <v>64</v>
      </c>
      <c r="C84" s="1" t="s">
        <v>41</v>
      </c>
      <c r="D84" s="1" t="s">
        <v>42</v>
      </c>
      <c r="E84" s="1" t="s">
        <v>43</v>
      </c>
      <c r="F84" s="5">
        <v>253954</v>
      </c>
      <c r="G84" s="1">
        <v>2</v>
      </c>
      <c r="H84" s="1" t="s">
        <v>49</v>
      </c>
      <c r="J84" t="s">
        <v>179</v>
      </c>
      <c r="K84" t="s">
        <v>180</v>
      </c>
      <c r="L84" t="str">
        <f t="shared" si="1"/>
        <v>James.Obi@dame.com</v>
      </c>
      <c r="M84">
        <f>LEN(Table1[[#This Row],[Full Name]])</f>
        <v>9</v>
      </c>
      <c r="N84" t="str">
        <f>UPPER(Table1[[#This Row],[Department]])</f>
        <v>IT</v>
      </c>
      <c r="O84" t="str">
        <f>LOWER(Table1[[#This Row],[Department]])</f>
        <v>it</v>
      </c>
      <c r="P84" t="str">
        <f>PROPER(Table1[[#This Row],[Department]])</f>
        <v>It</v>
      </c>
      <c r="Q84" t="str">
        <f>TRIM(Table1[[#This Row],[Full Name]])</f>
        <v>James Obi</v>
      </c>
    </row>
    <row r="85" spans="1:17" ht="16.5" customHeight="1" x14ac:dyDescent="0.25">
      <c r="A85" s="1" t="s">
        <v>154</v>
      </c>
      <c r="B85" s="1" t="s">
        <v>64</v>
      </c>
      <c r="C85" s="1" t="s">
        <v>41</v>
      </c>
      <c r="D85" s="1" t="s">
        <v>76</v>
      </c>
      <c r="E85" s="1" t="s">
        <v>43</v>
      </c>
      <c r="F85" s="5">
        <v>338029</v>
      </c>
      <c r="G85" s="1">
        <v>6</v>
      </c>
      <c r="H85" s="1" t="s">
        <v>66</v>
      </c>
      <c r="J85" t="s">
        <v>179</v>
      </c>
      <c r="K85" t="s">
        <v>180</v>
      </c>
      <c r="L85" t="str">
        <f t="shared" si="1"/>
        <v>James.Obi@dame.com</v>
      </c>
      <c r="M85">
        <f>LEN(Table1[[#This Row],[Full Name]])</f>
        <v>9</v>
      </c>
      <c r="N85" t="str">
        <f>UPPER(Table1[[#This Row],[Department]])</f>
        <v>IT</v>
      </c>
      <c r="O85" t="str">
        <f>LOWER(Table1[[#This Row],[Department]])</f>
        <v>it</v>
      </c>
      <c r="P85" t="str">
        <f>PROPER(Table1[[#This Row],[Department]])</f>
        <v>It</v>
      </c>
      <c r="Q85" t="str">
        <f>TRIM(Table1[[#This Row],[Full Name]])</f>
        <v>James Obi</v>
      </c>
    </row>
    <row r="86" spans="1:17" ht="16.5" customHeight="1" x14ac:dyDescent="0.25">
      <c r="A86" s="1" t="s">
        <v>155</v>
      </c>
      <c r="B86" s="1" t="s">
        <v>94</v>
      </c>
      <c r="C86" s="1" t="s">
        <v>54</v>
      </c>
      <c r="D86" s="1" t="s">
        <v>87</v>
      </c>
      <c r="E86" s="1" t="s">
        <v>43</v>
      </c>
      <c r="F86" s="5">
        <v>340723</v>
      </c>
      <c r="G86" s="1">
        <v>7</v>
      </c>
      <c r="H86" s="1" t="s">
        <v>44</v>
      </c>
      <c r="J86" t="s">
        <v>187</v>
      </c>
      <c r="K86" t="s">
        <v>188</v>
      </c>
      <c r="L86" t="str">
        <f t="shared" si="1"/>
        <v>Ngozi.Bello@dame.com</v>
      </c>
      <c r="M86">
        <f>LEN(Table1[[#This Row],[Full Name]])</f>
        <v>11</v>
      </c>
      <c r="N86" t="str">
        <f>UPPER(Table1[[#This Row],[Department]])</f>
        <v>FINANCE</v>
      </c>
      <c r="O86" t="str">
        <f>LOWER(Table1[[#This Row],[Department]])</f>
        <v>finance</v>
      </c>
      <c r="P86" t="str">
        <f>PROPER(Table1[[#This Row],[Department]])</f>
        <v>Finance</v>
      </c>
      <c r="Q86" t="str">
        <f>TRIM(Table1[[#This Row],[Full Name]])</f>
        <v>Ngozi Bello</v>
      </c>
    </row>
    <row r="87" spans="1:17" ht="16.5" customHeight="1" x14ac:dyDescent="0.25">
      <c r="A87" s="1" t="s">
        <v>156</v>
      </c>
      <c r="B87" s="1" t="s">
        <v>51</v>
      </c>
      <c r="C87" s="1" t="s">
        <v>46</v>
      </c>
      <c r="D87" s="1" t="s">
        <v>42</v>
      </c>
      <c r="E87" s="1" t="s">
        <v>43</v>
      </c>
      <c r="F87" s="5">
        <v>216138</v>
      </c>
      <c r="G87" s="1">
        <v>2</v>
      </c>
      <c r="H87" s="1" t="s">
        <v>44</v>
      </c>
      <c r="J87" t="s">
        <v>173</v>
      </c>
      <c r="K87" t="s">
        <v>174</v>
      </c>
      <c r="L87" t="str">
        <f t="shared" si="1"/>
        <v>Faith.Udo@dame.com</v>
      </c>
      <c r="M87">
        <f>LEN(Table1[[#This Row],[Full Name]])</f>
        <v>9</v>
      </c>
      <c r="N87" t="str">
        <f>UPPER(Table1[[#This Row],[Department]])</f>
        <v>MARKETING</v>
      </c>
      <c r="O87" t="str">
        <f>LOWER(Table1[[#This Row],[Department]])</f>
        <v>marketing</v>
      </c>
      <c r="P87" t="str">
        <f>PROPER(Table1[[#This Row],[Department]])</f>
        <v>Marketing</v>
      </c>
      <c r="Q87" t="str">
        <f>TRIM(Table1[[#This Row],[Full Name]])</f>
        <v>Faith Udo</v>
      </c>
    </row>
    <row r="88" spans="1:17" ht="16.5" customHeight="1" x14ac:dyDescent="0.25">
      <c r="A88" s="1" t="s">
        <v>157</v>
      </c>
      <c r="B88" s="1" t="s">
        <v>75</v>
      </c>
      <c r="C88" s="1" t="s">
        <v>41</v>
      </c>
      <c r="D88" s="1" t="s">
        <v>73</v>
      </c>
      <c r="E88" s="1" t="s">
        <v>48</v>
      </c>
      <c r="F88" s="5">
        <v>490025</v>
      </c>
      <c r="G88" s="1">
        <v>8</v>
      </c>
      <c r="H88" s="1" t="s">
        <v>49</v>
      </c>
      <c r="J88" t="s">
        <v>183</v>
      </c>
      <c r="K88" t="s">
        <v>184</v>
      </c>
      <c r="L88" t="str">
        <f t="shared" si="1"/>
        <v>Chika.Umeh@dame.com</v>
      </c>
      <c r="M88">
        <f>LEN(Table1[[#This Row],[Full Name]])</f>
        <v>10</v>
      </c>
      <c r="N88" t="str">
        <f>UPPER(Table1[[#This Row],[Department]])</f>
        <v>IT</v>
      </c>
      <c r="O88" t="str">
        <f>LOWER(Table1[[#This Row],[Department]])</f>
        <v>it</v>
      </c>
      <c r="P88" t="str">
        <f>PROPER(Table1[[#This Row],[Department]])</f>
        <v>It</v>
      </c>
      <c r="Q88" t="str">
        <f>TRIM(Table1[[#This Row],[Full Name]])</f>
        <v>Chika Umeh</v>
      </c>
    </row>
    <row r="89" spans="1:17" ht="16.5" customHeight="1" x14ac:dyDescent="0.25">
      <c r="A89" s="1" t="s">
        <v>158</v>
      </c>
      <c r="B89" s="1" t="s">
        <v>75</v>
      </c>
      <c r="C89" s="1" t="s">
        <v>46</v>
      </c>
      <c r="D89" s="1" t="s">
        <v>68</v>
      </c>
      <c r="E89" s="1" t="s">
        <v>43</v>
      </c>
      <c r="F89" s="5">
        <v>339580</v>
      </c>
      <c r="G89" s="1">
        <v>2</v>
      </c>
      <c r="H89" s="1" t="s">
        <v>56</v>
      </c>
      <c r="J89" t="s">
        <v>183</v>
      </c>
      <c r="K89" t="s">
        <v>184</v>
      </c>
      <c r="L89" t="str">
        <f t="shared" si="1"/>
        <v>Chika.Umeh@dame.com</v>
      </c>
      <c r="M89">
        <f>LEN(Table1[[#This Row],[Full Name]])</f>
        <v>10</v>
      </c>
      <c r="N89" t="str">
        <f>UPPER(Table1[[#This Row],[Department]])</f>
        <v>MARKETING</v>
      </c>
      <c r="O89" t="str">
        <f>LOWER(Table1[[#This Row],[Department]])</f>
        <v>marketing</v>
      </c>
      <c r="P89" t="str">
        <f>PROPER(Table1[[#This Row],[Department]])</f>
        <v>Marketing</v>
      </c>
      <c r="Q89" t="str">
        <f>TRIM(Table1[[#This Row],[Full Name]])</f>
        <v>Chika Umeh</v>
      </c>
    </row>
    <row r="90" spans="1:17" ht="16.5" customHeight="1" x14ac:dyDescent="0.25">
      <c r="A90" s="1" t="s">
        <v>159</v>
      </c>
      <c r="B90" s="1" t="s">
        <v>58</v>
      </c>
      <c r="C90" s="1" t="s">
        <v>71</v>
      </c>
      <c r="D90" s="1" t="s">
        <v>76</v>
      </c>
      <c r="E90" s="1" t="s">
        <v>48</v>
      </c>
      <c r="F90" s="5">
        <v>325782</v>
      </c>
      <c r="G90" s="1">
        <v>8</v>
      </c>
      <c r="H90" s="1" t="s">
        <v>56</v>
      </c>
      <c r="J90" t="s">
        <v>175</v>
      </c>
      <c r="K90" t="s">
        <v>176</v>
      </c>
      <c r="L90" t="str">
        <f t="shared" si="1"/>
        <v>Ibrahim.Musa@dame.com</v>
      </c>
      <c r="M90">
        <f>LEN(Table1[[#This Row],[Full Name]])</f>
        <v>12</v>
      </c>
      <c r="N90" t="str">
        <f>UPPER(Table1[[#This Row],[Department]])</f>
        <v>HR</v>
      </c>
      <c r="O90" t="str">
        <f>LOWER(Table1[[#This Row],[Department]])</f>
        <v>hr</v>
      </c>
      <c r="P90" t="str">
        <f>PROPER(Table1[[#This Row],[Department]])</f>
        <v>Hr</v>
      </c>
      <c r="Q90" t="str">
        <f>TRIM(Table1[[#This Row],[Full Name]])</f>
        <v>Ibrahim Musa</v>
      </c>
    </row>
    <row r="91" spans="1:17" ht="16.5" customHeight="1" x14ac:dyDescent="0.25">
      <c r="A91" s="1" t="s">
        <v>160</v>
      </c>
      <c r="B91" s="1" t="s">
        <v>61</v>
      </c>
      <c r="C91" s="1" t="s">
        <v>41</v>
      </c>
      <c r="D91" s="1" t="s">
        <v>79</v>
      </c>
      <c r="E91" s="1" t="s">
        <v>43</v>
      </c>
      <c r="F91" s="5">
        <v>397430</v>
      </c>
      <c r="G91" s="1">
        <v>10</v>
      </c>
      <c r="H91" s="1" t="s">
        <v>59</v>
      </c>
      <c r="J91" t="s">
        <v>177</v>
      </c>
      <c r="K91" t="s">
        <v>178</v>
      </c>
      <c r="L91" t="str">
        <f t="shared" si="1"/>
        <v>Tunde.Salisu@dame.com</v>
      </c>
      <c r="M91">
        <f>LEN(Table1[[#This Row],[Full Name]])</f>
        <v>12</v>
      </c>
      <c r="N91" t="str">
        <f>UPPER(Table1[[#This Row],[Department]])</f>
        <v>IT</v>
      </c>
      <c r="O91" t="str">
        <f>LOWER(Table1[[#This Row],[Department]])</f>
        <v>it</v>
      </c>
      <c r="P91" t="str">
        <f>PROPER(Table1[[#This Row],[Department]])</f>
        <v>It</v>
      </c>
      <c r="Q91" t="str">
        <f>TRIM(Table1[[#This Row],[Full Name]])</f>
        <v>Tunde Salisu</v>
      </c>
    </row>
    <row r="92" spans="1:17" ht="16.5" customHeight="1" x14ac:dyDescent="0.25">
      <c r="A92" s="1" t="s">
        <v>161</v>
      </c>
      <c r="B92" s="1" t="s">
        <v>94</v>
      </c>
      <c r="C92" s="1" t="s">
        <v>54</v>
      </c>
      <c r="D92" s="1" t="s">
        <v>76</v>
      </c>
      <c r="E92" s="1" t="s">
        <v>43</v>
      </c>
      <c r="F92" s="5">
        <v>300847</v>
      </c>
      <c r="G92" s="1">
        <v>4</v>
      </c>
      <c r="H92" s="1" t="s">
        <v>44</v>
      </c>
      <c r="J92" t="s">
        <v>187</v>
      </c>
      <c r="K92" t="s">
        <v>188</v>
      </c>
      <c r="L92" t="str">
        <f t="shared" si="1"/>
        <v>Ngozi.Bello@dame.com</v>
      </c>
      <c r="M92">
        <f>LEN(Table1[[#This Row],[Full Name]])</f>
        <v>11</v>
      </c>
      <c r="N92" t="str">
        <f>UPPER(Table1[[#This Row],[Department]])</f>
        <v>FINANCE</v>
      </c>
      <c r="O92" t="str">
        <f>LOWER(Table1[[#This Row],[Department]])</f>
        <v>finance</v>
      </c>
      <c r="P92" t="str">
        <f>PROPER(Table1[[#This Row],[Department]])</f>
        <v>Finance</v>
      </c>
      <c r="Q92" t="str">
        <f>TRIM(Table1[[#This Row],[Full Name]])</f>
        <v>Ngozi Bello</v>
      </c>
    </row>
    <row r="93" spans="1:17" ht="16.5" customHeight="1" x14ac:dyDescent="0.25">
      <c r="A93" s="1" t="s">
        <v>162</v>
      </c>
      <c r="B93" s="1" t="s">
        <v>64</v>
      </c>
      <c r="C93" s="1" t="s">
        <v>41</v>
      </c>
      <c r="D93" s="1" t="s">
        <v>47</v>
      </c>
      <c r="E93" s="1" t="s">
        <v>43</v>
      </c>
      <c r="F93" s="5">
        <v>265948</v>
      </c>
      <c r="G93" s="1">
        <v>6</v>
      </c>
      <c r="H93" s="1" t="s">
        <v>49</v>
      </c>
      <c r="J93" t="s">
        <v>179</v>
      </c>
      <c r="K93" t="s">
        <v>180</v>
      </c>
      <c r="L93" t="str">
        <f t="shared" si="1"/>
        <v>James.Obi@dame.com</v>
      </c>
      <c r="M93">
        <f>LEN(Table1[[#This Row],[Full Name]])</f>
        <v>9</v>
      </c>
      <c r="N93" t="str">
        <f>UPPER(Table1[[#This Row],[Department]])</f>
        <v>IT</v>
      </c>
      <c r="O93" t="str">
        <f>LOWER(Table1[[#This Row],[Department]])</f>
        <v>it</v>
      </c>
      <c r="P93" t="str">
        <f>PROPER(Table1[[#This Row],[Department]])</f>
        <v>It</v>
      </c>
      <c r="Q93" t="str">
        <f>TRIM(Table1[[#This Row],[Full Name]])</f>
        <v>James Obi</v>
      </c>
    </row>
    <row r="94" spans="1:17" ht="16.5" customHeight="1" x14ac:dyDescent="0.25">
      <c r="A94" s="1" t="s">
        <v>163</v>
      </c>
      <c r="B94" s="1" t="s">
        <v>61</v>
      </c>
      <c r="C94" s="1" t="s">
        <v>71</v>
      </c>
      <c r="D94" s="1" t="s">
        <v>68</v>
      </c>
      <c r="E94" s="1" t="s">
        <v>48</v>
      </c>
      <c r="F94" s="5">
        <v>341060</v>
      </c>
      <c r="G94" s="1">
        <v>7</v>
      </c>
      <c r="H94" s="1" t="s">
        <v>66</v>
      </c>
      <c r="J94" t="s">
        <v>177</v>
      </c>
      <c r="K94" t="s">
        <v>178</v>
      </c>
      <c r="L94" t="str">
        <f t="shared" si="1"/>
        <v>Tunde.Salisu@dame.com</v>
      </c>
      <c r="M94">
        <f>LEN(Table1[[#This Row],[Full Name]])</f>
        <v>12</v>
      </c>
      <c r="N94" t="str">
        <f>UPPER(Table1[[#This Row],[Department]])</f>
        <v>HR</v>
      </c>
      <c r="O94" t="str">
        <f>LOWER(Table1[[#This Row],[Department]])</f>
        <v>hr</v>
      </c>
      <c r="P94" t="str">
        <f>PROPER(Table1[[#This Row],[Department]])</f>
        <v>Hr</v>
      </c>
      <c r="Q94" t="str">
        <f>TRIM(Table1[[#This Row],[Full Name]])</f>
        <v>Tunde Salisu</v>
      </c>
    </row>
    <row r="95" spans="1:17" ht="16.5" customHeight="1" x14ac:dyDescent="0.25">
      <c r="A95" s="1" t="s">
        <v>164</v>
      </c>
      <c r="B95" s="1" t="s">
        <v>94</v>
      </c>
      <c r="C95" s="1" t="s">
        <v>46</v>
      </c>
      <c r="D95" s="1" t="s">
        <v>55</v>
      </c>
      <c r="E95" s="1" t="s">
        <v>48</v>
      </c>
      <c r="F95" s="5">
        <v>326977</v>
      </c>
      <c r="G95" s="1">
        <v>4</v>
      </c>
      <c r="H95" s="1" t="s">
        <v>49</v>
      </c>
      <c r="J95" t="s">
        <v>187</v>
      </c>
      <c r="K95" t="s">
        <v>188</v>
      </c>
      <c r="L95" t="str">
        <f t="shared" si="1"/>
        <v>Ngozi.Bello@dame.com</v>
      </c>
      <c r="M95">
        <f>LEN(Table1[[#This Row],[Full Name]])</f>
        <v>11</v>
      </c>
      <c r="N95" t="str">
        <f>UPPER(Table1[[#This Row],[Department]])</f>
        <v>MARKETING</v>
      </c>
      <c r="O95" t="str">
        <f>LOWER(Table1[[#This Row],[Department]])</f>
        <v>marketing</v>
      </c>
      <c r="P95" t="str">
        <f>PROPER(Table1[[#This Row],[Department]])</f>
        <v>Marketing</v>
      </c>
      <c r="Q95" t="str">
        <f>TRIM(Table1[[#This Row],[Full Name]])</f>
        <v>Ngozi Bello</v>
      </c>
    </row>
    <row r="96" spans="1:17" ht="16.5" customHeight="1" x14ac:dyDescent="0.25">
      <c r="A96" s="1" t="s">
        <v>165</v>
      </c>
      <c r="B96" s="1" t="s">
        <v>61</v>
      </c>
      <c r="C96" s="1" t="s">
        <v>41</v>
      </c>
      <c r="D96" s="1" t="s">
        <v>42</v>
      </c>
      <c r="E96" s="1" t="s">
        <v>43</v>
      </c>
      <c r="F96" s="5">
        <v>433031</v>
      </c>
      <c r="G96" s="1">
        <v>1</v>
      </c>
      <c r="H96" s="1" t="s">
        <v>49</v>
      </c>
      <c r="J96" t="s">
        <v>177</v>
      </c>
      <c r="K96" t="s">
        <v>178</v>
      </c>
      <c r="L96" t="str">
        <f t="shared" si="1"/>
        <v>Tunde.Salisu@dame.com</v>
      </c>
      <c r="M96">
        <f>LEN(Table1[[#This Row],[Full Name]])</f>
        <v>12</v>
      </c>
      <c r="N96" t="str">
        <f>UPPER(Table1[[#This Row],[Department]])</f>
        <v>IT</v>
      </c>
      <c r="O96" t="str">
        <f>LOWER(Table1[[#This Row],[Department]])</f>
        <v>it</v>
      </c>
      <c r="P96" t="str">
        <f>PROPER(Table1[[#This Row],[Department]])</f>
        <v>It</v>
      </c>
      <c r="Q96" t="str">
        <f>TRIM(Table1[[#This Row],[Full Name]])</f>
        <v>Tunde Salisu</v>
      </c>
    </row>
    <row r="97" spans="1:17" ht="16.5" customHeight="1" x14ac:dyDescent="0.25">
      <c r="A97" s="1" t="s">
        <v>166</v>
      </c>
      <c r="B97" s="1" t="s">
        <v>58</v>
      </c>
      <c r="C97" s="1" t="s">
        <v>46</v>
      </c>
      <c r="D97" s="1" t="s">
        <v>62</v>
      </c>
      <c r="E97" s="1" t="s">
        <v>43</v>
      </c>
      <c r="F97" s="5">
        <v>421034</v>
      </c>
      <c r="G97" s="1">
        <v>3</v>
      </c>
      <c r="H97" s="1" t="s">
        <v>56</v>
      </c>
      <c r="J97" t="s">
        <v>175</v>
      </c>
      <c r="K97" t="s">
        <v>176</v>
      </c>
      <c r="L97" t="str">
        <f t="shared" si="1"/>
        <v>Ibrahim.Musa@dame.com</v>
      </c>
      <c r="M97">
        <f>LEN(Table1[[#This Row],[Full Name]])</f>
        <v>12</v>
      </c>
      <c r="N97" t="str">
        <f>UPPER(Table1[[#This Row],[Department]])</f>
        <v>MARKETING</v>
      </c>
      <c r="O97" t="str">
        <f>LOWER(Table1[[#This Row],[Department]])</f>
        <v>marketing</v>
      </c>
      <c r="P97" t="str">
        <f>PROPER(Table1[[#This Row],[Department]])</f>
        <v>Marketing</v>
      </c>
      <c r="Q97" t="str">
        <f>TRIM(Table1[[#This Row],[Full Name]])</f>
        <v>Ibrahim Musa</v>
      </c>
    </row>
    <row r="98" spans="1:17" ht="16.5" customHeight="1" x14ac:dyDescent="0.25">
      <c r="A98" s="1" t="s">
        <v>167</v>
      </c>
      <c r="B98" s="1" t="s">
        <v>51</v>
      </c>
      <c r="C98" s="1" t="s">
        <v>71</v>
      </c>
      <c r="D98" s="1" t="s">
        <v>47</v>
      </c>
      <c r="E98" s="1" t="s">
        <v>43</v>
      </c>
      <c r="F98" s="5">
        <v>363199</v>
      </c>
      <c r="G98" s="1">
        <v>4</v>
      </c>
      <c r="H98" s="1" t="s">
        <v>59</v>
      </c>
      <c r="J98" t="s">
        <v>173</v>
      </c>
      <c r="K98" t="s">
        <v>174</v>
      </c>
      <c r="L98" t="str">
        <f t="shared" si="1"/>
        <v>Faith.Udo@dame.com</v>
      </c>
      <c r="M98">
        <f>LEN(Table1[[#This Row],[Full Name]])</f>
        <v>9</v>
      </c>
      <c r="N98" t="str">
        <f>UPPER(Table1[[#This Row],[Department]])</f>
        <v>HR</v>
      </c>
      <c r="O98" t="str">
        <f>LOWER(Table1[[#This Row],[Department]])</f>
        <v>hr</v>
      </c>
      <c r="P98" t="str">
        <f>PROPER(Table1[[#This Row],[Department]])</f>
        <v>Hr</v>
      </c>
      <c r="Q98" t="str">
        <f>TRIM(Table1[[#This Row],[Full Name]])</f>
        <v>Faith Udo</v>
      </c>
    </row>
    <row r="99" spans="1:17" ht="16.5" customHeight="1" x14ac:dyDescent="0.25">
      <c r="A99" s="1" t="s">
        <v>168</v>
      </c>
      <c r="B99" s="1" t="s">
        <v>61</v>
      </c>
      <c r="C99" s="1" t="s">
        <v>46</v>
      </c>
      <c r="D99" s="1" t="s">
        <v>76</v>
      </c>
      <c r="E99" s="1" t="s">
        <v>43</v>
      </c>
      <c r="F99" s="5">
        <v>399940</v>
      </c>
      <c r="G99" s="1">
        <v>7</v>
      </c>
      <c r="H99" s="1" t="s">
        <v>44</v>
      </c>
      <c r="J99" t="s">
        <v>177</v>
      </c>
      <c r="K99" t="s">
        <v>178</v>
      </c>
      <c r="L99" t="str">
        <f t="shared" si="1"/>
        <v>Tunde.Salisu@dame.com</v>
      </c>
      <c r="M99">
        <f>LEN(Table1[[#This Row],[Full Name]])</f>
        <v>12</v>
      </c>
      <c r="N99" t="str">
        <f>UPPER(Table1[[#This Row],[Department]])</f>
        <v>MARKETING</v>
      </c>
      <c r="O99" t="str">
        <f>LOWER(Table1[[#This Row],[Department]])</f>
        <v>marketing</v>
      </c>
      <c r="P99" t="str">
        <f>PROPER(Table1[[#This Row],[Department]])</f>
        <v>Marketing</v>
      </c>
      <c r="Q99" t="str">
        <f>TRIM(Table1[[#This Row],[Full Name]])</f>
        <v>Tunde Salisu</v>
      </c>
    </row>
    <row r="100" spans="1:17" ht="16.5" customHeight="1" x14ac:dyDescent="0.25">
      <c r="A100" s="1" t="s">
        <v>169</v>
      </c>
      <c r="B100" s="1" t="s">
        <v>64</v>
      </c>
      <c r="C100" s="1" t="s">
        <v>41</v>
      </c>
      <c r="D100" s="1" t="s">
        <v>87</v>
      </c>
      <c r="E100" s="1" t="s">
        <v>43</v>
      </c>
      <c r="F100" s="5">
        <v>231891</v>
      </c>
      <c r="G100" s="1">
        <v>4</v>
      </c>
      <c r="H100" s="1" t="s">
        <v>59</v>
      </c>
      <c r="J100" t="s">
        <v>179</v>
      </c>
      <c r="K100" t="s">
        <v>180</v>
      </c>
      <c r="L100" t="str">
        <f t="shared" si="1"/>
        <v>James.Obi@dame.com</v>
      </c>
      <c r="M100">
        <f>LEN(Table1[[#This Row],[Full Name]])</f>
        <v>9</v>
      </c>
      <c r="N100" t="str">
        <f>UPPER(Table1[[#This Row],[Department]])</f>
        <v>IT</v>
      </c>
      <c r="O100" t="str">
        <f>LOWER(Table1[[#This Row],[Department]])</f>
        <v>it</v>
      </c>
      <c r="P100" t="str">
        <f>PROPER(Table1[[#This Row],[Department]])</f>
        <v>It</v>
      </c>
      <c r="Q100" t="str">
        <f>TRIM(Table1[[#This Row],[Full Name]])</f>
        <v>James Obi</v>
      </c>
    </row>
    <row r="101" spans="1:17" ht="16.5" customHeight="1" x14ac:dyDescent="0.25">
      <c r="A101" s="1" t="s">
        <v>170</v>
      </c>
      <c r="B101" s="1" t="s">
        <v>51</v>
      </c>
      <c r="C101" s="1" t="s">
        <v>52</v>
      </c>
      <c r="D101" s="1" t="s">
        <v>90</v>
      </c>
      <c r="E101" s="1" t="s">
        <v>43</v>
      </c>
      <c r="F101" s="5">
        <v>203199</v>
      </c>
      <c r="G101" s="1">
        <v>8</v>
      </c>
      <c r="H101" s="1" t="s">
        <v>66</v>
      </c>
      <c r="J101" t="s">
        <v>173</v>
      </c>
      <c r="K101" t="s">
        <v>174</v>
      </c>
      <c r="L101" t="str">
        <f t="shared" si="1"/>
        <v>Faith.Udo@dame.com</v>
      </c>
      <c r="M101">
        <f>LEN(Table1[[#This Row],[Full Name]])</f>
        <v>9</v>
      </c>
      <c r="N101" t="str">
        <f>UPPER(Table1[[#This Row],[Department]])</f>
        <v>SALES</v>
      </c>
      <c r="O101" t="str">
        <f>LOWER(Table1[[#This Row],[Department]])</f>
        <v>sales</v>
      </c>
      <c r="P101" t="str">
        <f>PROPER(Table1[[#This Row],[Department]])</f>
        <v>Sales</v>
      </c>
      <c r="Q101" t="str">
        <f>TRIM(Table1[[#This Row],[Full Name]])</f>
        <v>Faith Udo</v>
      </c>
    </row>
    <row r="102" spans="1:17" ht="16.5" customHeight="1" x14ac:dyDescent="0.25"/>
    <row r="103" spans="1:17" ht="16.5" customHeight="1" x14ac:dyDescent="0.25"/>
    <row r="104" spans="1:17" ht="16.5" customHeight="1" x14ac:dyDescent="0.25"/>
    <row r="105" spans="1:17" ht="16.5" customHeight="1" x14ac:dyDescent="0.25"/>
    <row r="106" spans="1:17" ht="16.5" customHeight="1" x14ac:dyDescent="0.25"/>
    <row r="107" spans="1:17" ht="16.5" customHeight="1" x14ac:dyDescent="0.25"/>
    <row r="108" spans="1:17" ht="16.5" customHeight="1" x14ac:dyDescent="0.25"/>
    <row r="109" spans="1:17" ht="16.5" customHeight="1" x14ac:dyDescent="0.25"/>
    <row r="110" spans="1:17" ht="16.5" customHeight="1" x14ac:dyDescent="0.25"/>
    <row r="111" spans="1:17" ht="16.5" customHeight="1" x14ac:dyDescent="0.25"/>
    <row r="112" spans="1:17" ht="16.5" customHeight="1" x14ac:dyDescent="0.25"/>
    <row r="113" ht="16.5" customHeight="1" x14ac:dyDescent="0.25"/>
    <row r="114" ht="16.5" customHeight="1" x14ac:dyDescent="0.25"/>
    <row r="115" ht="16.5" customHeight="1" x14ac:dyDescent="0.25"/>
    <row r="116" ht="16.5" customHeight="1" x14ac:dyDescent="0.25"/>
    <row r="117" ht="16.5" customHeight="1" x14ac:dyDescent="0.25"/>
    <row r="118" ht="16.5" customHeight="1" x14ac:dyDescent="0.25"/>
    <row r="119" ht="16.5" customHeight="1" x14ac:dyDescent="0.25"/>
    <row r="120" ht="16.5" customHeight="1" x14ac:dyDescent="0.25"/>
    <row r="121" ht="16.5" customHeight="1" x14ac:dyDescent="0.25"/>
    <row r="122" ht="16.5" customHeight="1" x14ac:dyDescent="0.25"/>
    <row r="123" ht="16.5" customHeight="1" x14ac:dyDescent="0.25"/>
    <row r="124" ht="16.5" customHeight="1" x14ac:dyDescent="0.25"/>
    <row r="125" ht="16.5" customHeight="1" x14ac:dyDescent="0.25"/>
    <row r="126" ht="16.5" customHeight="1" x14ac:dyDescent="0.25"/>
    <row r="127" ht="16.5" customHeight="1" x14ac:dyDescent="0.25"/>
    <row r="128" ht="16.5" customHeight="1" x14ac:dyDescent="0.25"/>
    <row r="129" ht="16.5" customHeight="1" x14ac:dyDescent="0.25"/>
    <row r="130" ht="16.5" customHeight="1" x14ac:dyDescent="0.25"/>
    <row r="131" ht="16.5" customHeight="1" x14ac:dyDescent="0.25"/>
    <row r="132" ht="16.5" customHeight="1" x14ac:dyDescent="0.25"/>
    <row r="133" ht="16.5" customHeight="1" x14ac:dyDescent="0.25"/>
    <row r="134" ht="16.5" customHeight="1" x14ac:dyDescent="0.25"/>
    <row r="135" ht="16.5" customHeight="1" x14ac:dyDescent="0.25"/>
    <row r="136" ht="16.5" customHeight="1" x14ac:dyDescent="0.25"/>
    <row r="137" ht="16.5" customHeight="1" x14ac:dyDescent="0.25"/>
    <row r="138" ht="16.5" customHeight="1" x14ac:dyDescent="0.25"/>
    <row r="139" ht="16.5" customHeight="1" x14ac:dyDescent="0.25"/>
    <row r="140" ht="16.5" customHeight="1" x14ac:dyDescent="0.25"/>
    <row r="141" ht="16.5" customHeight="1" x14ac:dyDescent="0.25"/>
    <row r="142" ht="16.5" customHeight="1" x14ac:dyDescent="0.25"/>
    <row r="143" ht="16.5" customHeight="1" x14ac:dyDescent="0.25"/>
    <row r="144" ht="16.5" customHeight="1" x14ac:dyDescent="0.25"/>
    <row r="145" ht="16.5" customHeight="1" x14ac:dyDescent="0.25"/>
    <row r="146" ht="16.5" customHeight="1" x14ac:dyDescent="0.25"/>
    <row r="147" ht="16.5" customHeight="1" x14ac:dyDescent="0.25"/>
    <row r="148" ht="16.5" customHeight="1" x14ac:dyDescent="0.25"/>
    <row r="149" ht="16.5" customHeight="1" x14ac:dyDescent="0.25"/>
    <row r="150" ht="16.5" customHeight="1" x14ac:dyDescent="0.25"/>
    <row r="151" ht="16.5" customHeight="1" x14ac:dyDescent="0.25"/>
    <row r="152" ht="16.5" customHeight="1" x14ac:dyDescent="0.25"/>
    <row r="153" ht="16.5" customHeight="1" x14ac:dyDescent="0.25"/>
    <row r="154" ht="16.5" customHeight="1" x14ac:dyDescent="0.25"/>
    <row r="155" ht="16.5" customHeight="1" x14ac:dyDescent="0.25"/>
    <row r="156" ht="16.5" customHeight="1" x14ac:dyDescent="0.25"/>
    <row r="157" ht="16.5" customHeight="1" x14ac:dyDescent="0.25"/>
    <row r="158" ht="16.5" customHeight="1" x14ac:dyDescent="0.25"/>
    <row r="159" ht="16.5" customHeight="1" x14ac:dyDescent="0.25"/>
    <row r="160" ht="16.5" customHeight="1" x14ac:dyDescent="0.25"/>
    <row r="161" ht="16.5" customHeight="1" x14ac:dyDescent="0.25"/>
    <row r="162" ht="16.5" customHeight="1" x14ac:dyDescent="0.25"/>
    <row r="163" ht="16.5" customHeight="1" x14ac:dyDescent="0.25"/>
    <row r="164" ht="16.5" customHeight="1" x14ac:dyDescent="0.25"/>
    <row r="165" ht="16.5" customHeight="1" x14ac:dyDescent="0.25"/>
    <row r="166" ht="16.5" customHeight="1" x14ac:dyDescent="0.25"/>
    <row r="167" ht="16.5" customHeight="1" x14ac:dyDescent="0.25"/>
    <row r="168" ht="16.5" customHeight="1" x14ac:dyDescent="0.25"/>
    <row r="169" ht="16.5" customHeight="1" x14ac:dyDescent="0.25"/>
    <row r="170" ht="16.5" customHeight="1" x14ac:dyDescent="0.25"/>
    <row r="171" ht="16.5" customHeight="1" x14ac:dyDescent="0.25"/>
    <row r="172" ht="16.5" customHeight="1" x14ac:dyDescent="0.25"/>
    <row r="173" ht="16.5" customHeight="1" x14ac:dyDescent="0.25"/>
    <row r="174" ht="16.5" customHeight="1" x14ac:dyDescent="0.25"/>
    <row r="175" ht="16.5" customHeight="1" x14ac:dyDescent="0.25"/>
    <row r="176" ht="16.5" customHeight="1" x14ac:dyDescent="0.25"/>
    <row r="177" ht="16.5" customHeight="1" x14ac:dyDescent="0.25"/>
    <row r="178" ht="16.5" customHeight="1" x14ac:dyDescent="0.25"/>
    <row r="179" ht="16.5" customHeight="1" x14ac:dyDescent="0.25"/>
    <row r="180" ht="16.5" customHeight="1" x14ac:dyDescent="0.25"/>
    <row r="181" ht="16.5" customHeight="1" x14ac:dyDescent="0.25"/>
    <row r="182" ht="16.5" customHeight="1" x14ac:dyDescent="0.25"/>
    <row r="183" ht="16.5" customHeight="1" x14ac:dyDescent="0.25"/>
    <row r="184" ht="16.5" customHeight="1" x14ac:dyDescent="0.25"/>
    <row r="185" ht="16.5" customHeight="1" x14ac:dyDescent="0.25"/>
    <row r="186" ht="16.5" customHeight="1" x14ac:dyDescent="0.25"/>
    <row r="187" ht="16.5" customHeight="1" x14ac:dyDescent="0.25"/>
    <row r="188" ht="16.5" customHeight="1" x14ac:dyDescent="0.25"/>
    <row r="189" ht="16.5" customHeight="1" x14ac:dyDescent="0.25"/>
    <row r="190" ht="16.5" customHeight="1" x14ac:dyDescent="0.25"/>
    <row r="191" ht="16.5" customHeight="1" x14ac:dyDescent="0.25"/>
    <row r="192" ht="16.5" customHeight="1" x14ac:dyDescent="0.25"/>
    <row r="193" ht="16.5" customHeight="1" x14ac:dyDescent="0.25"/>
    <row r="194" ht="16.5" customHeight="1" x14ac:dyDescent="0.25"/>
    <row r="195" ht="16.5" customHeight="1" x14ac:dyDescent="0.25"/>
    <row r="196" ht="16.5" customHeight="1" x14ac:dyDescent="0.25"/>
    <row r="197" ht="16.5" customHeight="1" x14ac:dyDescent="0.25"/>
    <row r="198" ht="16.5" customHeight="1" x14ac:dyDescent="0.25"/>
    <row r="199" ht="16.5" customHeight="1" x14ac:dyDescent="0.25"/>
    <row r="200" ht="16.5" customHeight="1" x14ac:dyDescent="0.25"/>
    <row r="201" ht="16.5" customHeight="1" x14ac:dyDescent="0.25"/>
    <row r="202" ht="16.5" customHeight="1" x14ac:dyDescent="0.25"/>
    <row r="203" ht="16.5" customHeight="1" x14ac:dyDescent="0.25"/>
    <row r="204" ht="16.5" customHeight="1" x14ac:dyDescent="0.25"/>
    <row r="205" ht="16.5" customHeight="1" x14ac:dyDescent="0.25"/>
    <row r="206" ht="16.5" customHeight="1" x14ac:dyDescent="0.25"/>
    <row r="207" ht="16.5" customHeight="1" x14ac:dyDescent="0.25"/>
    <row r="208" ht="16.5" customHeight="1" x14ac:dyDescent="0.25"/>
    <row r="209" ht="16.5" customHeight="1" x14ac:dyDescent="0.25"/>
    <row r="210" ht="16.5" customHeight="1" x14ac:dyDescent="0.25"/>
    <row r="211" ht="16.5" customHeight="1" x14ac:dyDescent="0.25"/>
    <row r="212" ht="16.5" customHeight="1" x14ac:dyDescent="0.25"/>
    <row r="213" ht="16.5" customHeight="1" x14ac:dyDescent="0.25"/>
    <row r="214" ht="16.5" customHeight="1" x14ac:dyDescent="0.25"/>
    <row r="215" ht="16.5" customHeight="1" x14ac:dyDescent="0.25"/>
    <row r="216" ht="16.5" customHeight="1" x14ac:dyDescent="0.25"/>
    <row r="217" ht="16.5" customHeight="1" x14ac:dyDescent="0.25"/>
    <row r="218" ht="16.5" customHeight="1" x14ac:dyDescent="0.25"/>
    <row r="219" ht="16.5" customHeight="1" x14ac:dyDescent="0.25"/>
    <row r="220" ht="16.5" customHeight="1" x14ac:dyDescent="0.25"/>
    <row r="221" ht="16.5" customHeight="1" x14ac:dyDescent="0.25"/>
    <row r="222" ht="16.5" customHeight="1" x14ac:dyDescent="0.25"/>
    <row r="223" ht="16.5" customHeight="1" x14ac:dyDescent="0.25"/>
    <row r="224" ht="16.5" customHeight="1" x14ac:dyDescent="0.25"/>
    <row r="225" ht="16.5" customHeight="1" x14ac:dyDescent="0.25"/>
    <row r="226" ht="16.5" customHeight="1" x14ac:dyDescent="0.25"/>
    <row r="227" ht="16.5" customHeight="1" x14ac:dyDescent="0.25"/>
    <row r="228" ht="16.5" customHeight="1" x14ac:dyDescent="0.25"/>
    <row r="229" ht="16.5" customHeight="1" x14ac:dyDescent="0.25"/>
    <row r="230" ht="16.5" customHeight="1" x14ac:dyDescent="0.25"/>
    <row r="231" ht="16.5" customHeight="1" x14ac:dyDescent="0.25"/>
    <row r="232" ht="16.5" customHeight="1" x14ac:dyDescent="0.25"/>
    <row r="233" ht="16.5" customHeight="1" x14ac:dyDescent="0.25"/>
    <row r="234" ht="16.5" customHeight="1" x14ac:dyDescent="0.25"/>
    <row r="235" ht="16.5" customHeight="1" x14ac:dyDescent="0.25"/>
    <row r="236" ht="16.5" customHeight="1" x14ac:dyDescent="0.25"/>
    <row r="237" ht="16.5" customHeight="1" x14ac:dyDescent="0.25"/>
    <row r="238" ht="16.5" customHeight="1" x14ac:dyDescent="0.25"/>
    <row r="239" ht="16.5" customHeight="1" x14ac:dyDescent="0.25"/>
    <row r="240" ht="16.5" customHeight="1" x14ac:dyDescent="0.25"/>
    <row r="241" ht="16.5" customHeight="1" x14ac:dyDescent="0.25"/>
    <row r="242" ht="16.5" customHeight="1" x14ac:dyDescent="0.25"/>
    <row r="243" ht="16.5" customHeight="1" x14ac:dyDescent="0.25"/>
    <row r="244" ht="16.5" customHeight="1" x14ac:dyDescent="0.25"/>
    <row r="245" ht="16.5" customHeight="1" x14ac:dyDescent="0.25"/>
    <row r="246" ht="16.5" customHeight="1" x14ac:dyDescent="0.25"/>
    <row r="247" ht="16.5" customHeight="1" x14ac:dyDescent="0.25"/>
    <row r="248" ht="16.5" customHeight="1" x14ac:dyDescent="0.25"/>
    <row r="249" ht="16.5" customHeight="1" x14ac:dyDescent="0.25"/>
    <row r="250" ht="16.5" customHeight="1" x14ac:dyDescent="0.25"/>
    <row r="251" ht="16.5" customHeight="1" x14ac:dyDescent="0.25"/>
    <row r="252" ht="16.5" customHeight="1" x14ac:dyDescent="0.25"/>
    <row r="253" ht="16.5" customHeight="1" x14ac:dyDescent="0.25"/>
    <row r="254" ht="16.5" customHeight="1" x14ac:dyDescent="0.25"/>
    <row r="255" ht="16.5" customHeight="1" x14ac:dyDescent="0.25"/>
    <row r="256" ht="16.5" customHeight="1" x14ac:dyDescent="0.25"/>
    <row r="257" ht="16.5" customHeight="1" x14ac:dyDescent="0.25"/>
    <row r="258" ht="16.5" customHeight="1" x14ac:dyDescent="0.25"/>
    <row r="259" ht="16.5" customHeight="1" x14ac:dyDescent="0.25"/>
    <row r="260" ht="16.5" customHeight="1" x14ac:dyDescent="0.25"/>
    <row r="261" ht="16.5" customHeight="1" x14ac:dyDescent="0.25"/>
    <row r="262" ht="16.5" customHeight="1" x14ac:dyDescent="0.25"/>
    <row r="263" ht="16.5" customHeight="1" x14ac:dyDescent="0.25"/>
    <row r="264" ht="16.5" customHeight="1" x14ac:dyDescent="0.25"/>
    <row r="265" ht="16.5" customHeight="1" x14ac:dyDescent="0.25"/>
    <row r="266" ht="16.5" customHeight="1" x14ac:dyDescent="0.25"/>
    <row r="267" ht="16.5" customHeight="1" x14ac:dyDescent="0.25"/>
    <row r="268" ht="16.5" customHeight="1" x14ac:dyDescent="0.25"/>
    <row r="269" ht="16.5" customHeight="1" x14ac:dyDescent="0.25"/>
    <row r="270" ht="16.5" customHeight="1" x14ac:dyDescent="0.25"/>
    <row r="271" ht="16.5" customHeight="1" x14ac:dyDescent="0.25"/>
    <row r="272" ht="16.5" customHeight="1" x14ac:dyDescent="0.25"/>
    <row r="273" ht="16.5" customHeight="1" x14ac:dyDescent="0.25"/>
    <row r="274" ht="16.5" customHeight="1" x14ac:dyDescent="0.25"/>
    <row r="275" ht="16.5" customHeight="1" x14ac:dyDescent="0.25"/>
    <row r="276" ht="16.5" customHeight="1" x14ac:dyDescent="0.25"/>
    <row r="277" ht="16.5" customHeight="1" x14ac:dyDescent="0.25"/>
    <row r="278" ht="16.5" customHeight="1" x14ac:dyDescent="0.25"/>
    <row r="279" ht="16.5" customHeight="1" x14ac:dyDescent="0.25"/>
    <row r="280" ht="16.5" customHeight="1" x14ac:dyDescent="0.25"/>
    <row r="281" ht="16.5" customHeight="1" x14ac:dyDescent="0.25"/>
    <row r="282" ht="16.5" customHeight="1" x14ac:dyDescent="0.25"/>
    <row r="283" ht="16.5" customHeight="1" x14ac:dyDescent="0.25"/>
    <row r="284" ht="16.5" customHeight="1" x14ac:dyDescent="0.25"/>
    <row r="285" ht="16.5" customHeight="1" x14ac:dyDescent="0.25"/>
    <row r="286" ht="16.5" customHeight="1" x14ac:dyDescent="0.25"/>
    <row r="287" ht="16.5" customHeight="1" x14ac:dyDescent="0.25"/>
    <row r="288" ht="16.5" customHeight="1" x14ac:dyDescent="0.25"/>
    <row r="289" ht="16.5" customHeight="1" x14ac:dyDescent="0.25"/>
    <row r="290" ht="16.5" customHeight="1" x14ac:dyDescent="0.25"/>
    <row r="291" ht="16.5" customHeight="1" x14ac:dyDescent="0.25"/>
    <row r="292" ht="16.5" customHeight="1" x14ac:dyDescent="0.25"/>
    <row r="293" ht="16.5" customHeight="1" x14ac:dyDescent="0.25"/>
    <row r="294" ht="16.5" customHeight="1" x14ac:dyDescent="0.25"/>
    <row r="295" ht="16.5" customHeight="1" x14ac:dyDescent="0.25"/>
    <row r="296" ht="16.5" customHeight="1" x14ac:dyDescent="0.25"/>
    <row r="297" ht="16.5" customHeight="1" x14ac:dyDescent="0.25"/>
    <row r="298" ht="16.5" customHeight="1" x14ac:dyDescent="0.25"/>
    <row r="299" ht="16.5" customHeight="1" x14ac:dyDescent="0.25"/>
    <row r="300" ht="16.5" customHeight="1" x14ac:dyDescent="0.25"/>
    <row r="301" ht="16.5" customHeight="1" x14ac:dyDescent="0.25"/>
    <row r="302" ht="16.5" customHeight="1" x14ac:dyDescent="0.25"/>
    <row r="303" ht="16.5" customHeight="1" x14ac:dyDescent="0.25"/>
    <row r="304" ht="16.5" customHeight="1" x14ac:dyDescent="0.25"/>
    <row r="305" ht="16.5" customHeight="1" x14ac:dyDescent="0.25"/>
    <row r="306" ht="16.5" customHeight="1" x14ac:dyDescent="0.25"/>
    <row r="307" ht="16.5" customHeight="1" x14ac:dyDescent="0.25"/>
    <row r="308" ht="16.5" customHeight="1" x14ac:dyDescent="0.25"/>
    <row r="309" ht="16.5" customHeight="1" x14ac:dyDescent="0.25"/>
    <row r="310" ht="16.5" customHeight="1" x14ac:dyDescent="0.25"/>
    <row r="311" ht="16.5" customHeight="1" x14ac:dyDescent="0.25"/>
    <row r="312" ht="16.5" customHeight="1" x14ac:dyDescent="0.25"/>
    <row r="313" ht="16.5" customHeight="1" x14ac:dyDescent="0.25"/>
    <row r="314" ht="16.5" customHeight="1" x14ac:dyDescent="0.25"/>
    <row r="315" ht="16.5" customHeight="1" x14ac:dyDescent="0.25"/>
    <row r="316" ht="16.5" customHeight="1" x14ac:dyDescent="0.25"/>
    <row r="317" ht="16.5" customHeight="1" x14ac:dyDescent="0.25"/>
    <row r="318" ht="16.5" customHeight="1" x14ac:dyDescent="0.25"/>
    <row r="319" ht="16.5" customHeight="1" x14ac:dyDescent="0.25"/>
    <row r="320" ht="16.5" customHeight="1" x14ac:dyDescent="0.25"/>
    <row r="321" ht="16.5" customHeight="1" x14ac:dyDescent="0.25"/>
    <row r="322" ht="16.5" customHeight="1" x14ac:dyDescent="0.25"/>
    <row r="323" ht="16.5" customHeight="1" x14ac:dyDescent="0.25"/>
    <row r="324" ht="16.5" customHeight="1" x14ac:dyDescent="0.25"/>
    <row r="325" ht="16.5" customHeight="1" x14ac:dyDescent="0.25"/>
    <row r="326" ht="16.5" customHeight="1" x14ac:dyDescent="0.25"/>
    <row r="327" ht="16.5" customHeight="1" x14ac:dyDescent="0.25"/>
    <row r="328" ht="16.5" customHeight="1" x14ac:dyDescent="0.25"/>
    <row r="329" ht="16.5" customHeight="1" x14ac:dyDescent="0.25"/>
    <row r="330" ht="16.5" customHeight="1" x14ac:dyDescent="0.25"/>
    <row r="331" ht="16.5" customHeight="1" x14ac:dyDescent="0.25"/>
    <row r="332" ht="16.5" customHeight="1" x14ac:dyDescent="0.25"/>
    <row r="333" ht="16.5" customHeight="1" x14ac:dyDescent="0.25"/>
    <row r="334" ht="16.5" customHeight="1" x14ac:dyDescent="0.25"/>
    <row r="335" ht="16.5" customHeight="1" x14ac:dyDescent="0.25"/>
    <row r="336" ht="16.5" customHeight="1" x14ac:dyDescent="0.25"/>
    <row r="337" ht="16.5" customHeight="1" x14ac:dyDescent="0.25"/>
    <row r="338" ht="16.5" customHeight="1" x14ac:dyDescent="0.25"/>
    <row r="339" ht="16.5" customHeight="1" x14ac:dyDescent="0.25"/>
    <row r="340" ht="16.5" customHeight="1" x14ac:dyDescent="0.25"/>
    <row r="341" ht="16.5" customHeight="1" x14ac:dyDescent="0.25"/>
    <row r="342" ht="16.5" customHeight="1" x14ac:dyDescent="0.25"/>
    <row r="343" ht="16.5" customHeight="1" x14ac:dyDescent="0.25"/>
    <row r="344" ht="16.5" customHeight="1" x14ac:dyDescent="0.25"/>
    <row r="345" ht="16.5" customHeight="1" x14ac:dyDescent="0.25"/>
    <row r="346" ht="16.5" customHeight="1" x14ac:dyDescent="0.25"/>
    <row r="347" ht="16.5" customHeight="1" x14ac:dyDescent="0.25"/>
    <row r="348" ht="16.5" customHeight="1" x14ac:dyDescent="0.25"/>
    <row r="349" ht="16.5" customHeight="1" x14ac:dyDescent="0.25"/>
    <row r="350" ht="16.5" customHeight="1" x14ac:dyDescent="0.25"/>
    <row r="351" ht="16.5" customHeight="1" x14ac:dyDescent="0.25"/>
    <row r="352" ht="16.5" customHeight="1" x14ac:dyDescent="0.25"/>
    <row r="353" ht="16.5" customHeight="1" x14ac:dyDescent="0.25"/>
    <row r="354" ht="16.5" customHeight="1" x14ac:dyDescent="0.25"/>
    <row r="355" ht="16.5" customHeight="1" x14ac:dyDescent="0.25"/>
    <row r="356" ht="16.5" customHeight="1" x14ac:dyDescent="0.25"/>
    <row r="357" ht="16.5" customHeight="1" x14ac:dyDescent="0.25"/>
    <row r="358" ht="16.5" customHeight="1" x14ac:dyDescent="0.25"/>
    <row r="359" ht="16.5" customHeight="1" x14ac:dyDescent="0.25"/>
    <row r="360" ht="16.5" customHeight="1" x14ac:dyDescent="0.25"/>
    <row r="361" ht="16.5" customHeight="1" x14ac:dyDescent="0.25"/>
    <row r="362" ht="16.5" customHeight="1" x14ac:dyDescent="0.25"/>
    <row r="363" ht="16.5" customHeight="1" x14ac:dyDescent="0.25"/>
    <row r="364" ht="16.5" customHeight="1" x14ac:dyDescent="0.25"/>
    <row r="365" ht="16.5" customHeight="1" x14ac:dyDescent="0.25"/>
    <row r="366" ht="16.5" customHeight="1" x14ac:dyDescent="0.25"/>
    <row r="367" ht="16.5" customHeight="1" x14ac:dyDescent="0.25"/>
    <row r="368" ht="16.5" customHeight="1" x14ac:dyDescent="0.25"/>
    <row r="369" ht="16.5" customHeight="1" x14ac:dyDescent="0.25"/>
    <row r="370" ht="16.5" customHeight="1" x14ac:dyDescent="0.25"/>
    <row r="371" ht="16.5" customHeight="1" x14ac:dyDescent="0.25"/>
    <row r="372" ht="16.5" customHeight="1" x14ac:dyDescent="0.25"/>
    <row r="373" ht="16.5" customHeight="1" x14ac:dyDescent="0.25"/>
    <row r="374" ht="16.5" customHeight="1" x14ac:dyDescent="0.25"/>
    <row r="375" ht="16.5" customHeight="1" x14ac:dyDescent="0.25"/>
    <row r="376" ht="16.5" customHeight="1" x14ac:dyDescent="0.25"/>
    <row r="377" ht="16.5" customHeight="1" x14ac:dyDescent="0.25"/>
    <row r="378" ht="16.5" customHeight="1" x14ac:dyDescent="0.25"/>
    <row r="379" ht="16.5" customHeight="1" x14ac:dyDescent="0.25"/>
    <row r="380" ht="16.5" customHeight="1" x14ac:dyDescent="0.25"/>
    <row r="381" ht="16.5" customHeight="1" x14ac:dyDescent="0.25"/>
    <row r="382" ht="16.5" customHeight="1" x14ac:dyDescent="0.25"/>
    <row r="383" ht="16.5" customHeight="1" x14ac:dyDescent="0.25"/>
    <row r="384" ht="16.5" customHeight="1" x14ac:dyDescent="0.25"/>
    <row r="385" ht="16.5" customHeight="1" x14ac:dyDescent="0.25"/>
    <row r="386" ht="16.5" customHeight="1" x14ac:dyDescent="0.25"/>
    <row r="387" ht="16.5" customHeight="1" x14ac:dyDescent="0.25"/>
    <row r="388" ht="16.5" customHeight="1" x14ac:dyDescent="0.25"/>
    <row r="389" ht="16.5" customHeight="1" x14ac:dyDescent="0.25"/>
    <row r="390" ht="16.5" customHeight="1" x14ac:dyDescent="0.25"/>
    <row r="391" ht="16.5" customHeight="1" x14ac:dyDescent="0.25"/>
    <row r="392" ht="16.5" customHeight="1" x14ac:dyDescent="0.25"/>
    <row r="393" ht="16.5" customHeight="1" x14ac:dyDescent="0.25"/>
    <row r="394" ht="16.5" customHeight="1" x14ac:dyDescent="0.25"/>
    <row r="395" ht="16.5" customHeight="1" x14ac:dyDescent="0.25"/>
    <row r="396" ht="16.5" customHeight="1" x14ac:dyDescent="0.25"/>
    <row r="397" ht="16.5" customHeight="1" x14ac:dyDescent="0.25"/>
    <row r="398" ht="16.5" customHeight="1" x14ac:dyDescent="0.25"/>
    <row r="399" ht="16.5" customHeight="1" x14ac:dyDescent="0.25"/>
    <row r="400" ht="16.5" customHeight="1" x14ac:dyDescent="0.25"/>
    <row r="401" ht="16.5" customHeight="1" x14ac:dyDescent="0.25"/>
    <row r="402" ht="16.5" customHeight="1" x14ac:dyDescent="0.25"/>
    <row r="403" ht="16.5" customHeight="1" x14ac:dyDescent="0.25"/>
    <row r="404" ht="16.5" customHeight="1" x14ac:dyDescent="0.25"/>
    <row r="405" ht="16.5" customHeight="1" x14ac:dyDescent="0.25"/>
    <row r="406" ht="16.5" customHeight="1" x14ac:dyDescent="0.25"/>
    <row r="407" ht="16.5" customHeight="1" x14ac:dyDescent="0.25"/>
    <row r="408" ht="16.5" customHeight="1" x14ac:dyDescent="0.25"/>
    <row r="409" ht="16.5" customHeight="1" x14ac:dyDescent="0.25"/>
    <row r="410" ht="16.5" customHeight="1" x14ac:dyDescent="0.25"/>
    <row r="411" ht="16.5" customHeight="1" x14ac:dyDescent="0.25"/>
    <row r="412" ht="16.5" customHeight="1" x14ac:dyDescent="0.25"/>
    <row r="413" ht="16.5" customHeight="1" x14ac:dyDescent="0.25"/>
    <row r="414" ht="16.5" customHeight="1" x14ac:dyDescent="0.25"/>
    <row r="415" ht="16.5" customHeight="1" x14ac:dyDescent="0.25"/>
    <row r="416" ht="16.5" customHeight="1" x14ac:dyDescent="0.25"/>
    <row r="417" ht="16.5" customHeight="1" x14ac:dyDescent="0.25"/>
    <row r="418" ht="16.5" customHeight="1" x14ac:dyDescent="0.25"/>
    <row r="419" ht="16.5" customHeight="1" x14ac:dyDescent="0.25"/>
    <row r="420" ht="16.5" customHeight="1" x14ac:dyDescent="0.25"/>
    <row r="421" ht="16.5" customHeight="1" x14ac:dyDescent="0.25"/>
    <row r="422" ht="16.5" customHeight="1" x14ac:dyDescent="0.25"/>
    <row r="423" ht="16.5" customHeight="1" x14ac:dyDescent="0.25"/>
    <row r="424" ht="16.5" customHeight="1" x14ac:dyDescent="0.25"/>
    <row r="425" ht="16.5" customHeight="1" x14ac:dyDescent="0.25"/>
    <row r="426" ht="16.5" customHeight="1" x14ac:dyDescent="0.25"/>
    <row r="427" ht="16.5" customHeight="1" x14ac:dyDescent="0.25"/>
    <row r="428" ht="16.5" customHeight="1" x14ac:dyDescent="0.25"/>
    <row r="429" ht="16.5" customHeight="1" x14ac:dyDescent="0.25"/>
    <row r="430" ht="16.5" customHeight="1" x14ac:dyDescent="0.25"/>
    <row r="431" ht="16.5" customHeight="1" x14ac:dyDescent="0.25"/>
    <row r="432" ht="16.5" customHeight="1" x14ac:dyDescent="0.25"/>
    <row r="433" ht="16.5" customHeight="1" x14ac:dyDescent="0.25"/>
    <row r="434" ht="16.5" customHeight="1" x14ac:dyDescent="0.25"/>
    <row r="435" ht="16.5" customHeight="1" x14ac:dyDescent="0.25"/>
    <row r="436" ht="16.5" customHeight="1" x14ac:dyDescent="0.25"/>
    <row r="437" ht="16.5" customHeight="1" x14ac:dyDescent="0.25"/>
    <row r="438" ht="16.5" customHeight="1" x14ac:dyDescent="0.25"/>
    <row r="439" ht="16.5" customHeight="1" x14ac:dyDescent="0.25"/>
    <row r="440" ht="16.5" customHeight="1" x14ac:dyDescent="0.25"/>
    <row r="441" ht="16.5" customHeight="1" x14ac:dyDescent="0.25"/>
    <row r="442" ht="16.5" customHeight="1" x14ac:dyDescent="0.25"/>
    <row r="443" ht="16.5" customHeight="1" x14ac:dyDescent="0.25"/>
    <row r="444" ht="16.5" customHeight="1" x14ac:dyDescent="0.25"/>
    <row r="445" ht="16.5" customHeight="1" x14ac:dyDescent="0.25"/>
    <row r="446" ht="16.5" customHeight="1" x14ac:dyDescent="0.25"/>
    <row r="447" ht="16.5" customHeight="1" x14ac:dyDescent="0.25"/>
    <row r="448" ht="16.5" customHeight="1" x14ac:dyDescent="0.25"/>
    <row r="449" ht="16.5" customHeight="1" x14ac:dyDescent="0.25"/>
    <row r="450" ht="16.5" customHeight="1" x14ac:dyDescent="0.25"/>
    <row r="451" ht="16.5" customHeight="1" x14ac:dyDescent="0.25"/>
    <row r="452" ht="16.5" customHeight="1" x14ac:dyDescent="0.25"/>
    <row r="453" ht="16.5" customHeight="1" x14ac:dyDescent="0.25"/>
    <row r="454" ht="16.5" customHeight="1" x14ac:dyDescent="0.25"/>
    <row r="455" ht="16.5" customHeight="1" x14ac:dyDescent="0.25"/>
    <row r="456" ht="16.5" customHeight="1" x14ac:dyDescent="0.25"/>
    <row r="457" ht="16.5" customHeight="1" x14ac:dyDescent="0.25"/>
    <row r="458" ht="16.5" customHeight="1" x14ac:dyDescent="0.25"/>
    <row r="459" ht="16.5" customHeight="1" x14ac:dyDescent="0.25"/>
    <row r="460" ht="16.5" customHeight="1" x14ac:dyDescent="0.25"/>
    <row r="461" ht="16.5" customHeight="1" x14ac:dyDescent="0.25"/>
    <row r="462" ht="16.5" customHeight="1" x14ac:dyDescent="0.25"/>
    <row r="463" ht="16.5" customHeight="1" x14ac:dyDescent="0.25"/>
    <row r="464" ht="16.5" customHeight="1" x14ac:dyDescent="0.25"/>
    <row r="465" ht="16.5" customHeight="1" x14ac:dyDescent="0.25"/>
    <row r="466" ht="16.5" customHeight="1" x14ac:dyDescent="0.25"/>
    <row r="467" ht="16.5" customHeight="1" x14ac:dyDescent="0.25"/>
    <row r="468" ht="16.5" customHeight="1" x14ac:dyDescent="0.25"/>
    <row r="469" ht="16.5" customHeight="1" x14ac:dyDescent="0.25"/>
    <row r="470" ht="16.5" customHeight="1" x14ac:dyDescent="0.25"/>
    <row r="471" ht="16.5" customHeight="1" x14ac:dyDescent="0.25"/>
    <row r="472" ht="16.5" customHeight="1" x14ac:dyDescent="0.25"/>
    <row r="473" ht="16.5" customHeight="1" x14ac:dyDescent="0.25"/>
    <row r="474" ht="16.5" customHeight="1" x14ac:dyDescent="0.25"/>
    <row r="475" ht="16.5" customHeight="1" x14ac:dyDescent="0.25"/>
    <row r="476" ht="16.5" customHeight="1" x14ac:dyDescent="0.25"/>
    <row r="477" ht="16.5" customHeight="1" x14ac:dyDescent="0.25"/>
    <row r="478" ht="16.5" customHeight="1" x14ac:dyDescent="0.25"/>
    <row r="479" ht="16.5" customHeight="1" x14ac:dyDescent="0.25"/>
    <row r="480" ht="16.5" customHeight="1" x14ac:dyDescent="0.25"/>
    <row r="481" ht="16.5" customHeight="1" x14ac:dyDescent="0.25"/>
    <row r="482" ht="16.5" customHeight="1" x14ac:dyDescent="0.25"/>
    <row r="483" ht="16.5" customHeight="1" x14ac:dyDescent="0.25"/>
    <row r="484" ht="16.5" customHeight="1" x14ac:dyDescent="0.25"/>
    <row r="485" ht="16.5" customHeight="1" x14ac:dyDescent="0.25"/>
    <row r="486" ht="16.5" customHeight="1" x14ac:dyDescent="0.25"/>
    <row r="487" ht="16.5" customHeight="1" x14ac:dyDescent="0.25"/>
    <row r="488" ht="16.5" customHeight="1" x14ac:dyDescent="0.25"/>
    <row r="489" ht="16.5" customHeight="1" x14ac:dyDescent="0.25"/>
    <row r="490" ht="16.5" customHeight="1" x14ac:dyDescent="0.25"/>
    <row r="491" ht="16.5" customHeight="1" x14ac:dyDescent="0.25"/>
    <row r="492" ht="16.5" customHeight="1" x14ac:dyDescent="0.25"/>
    <row r="493" ht="16.5" customHeight="1" x14ac:dyDescent="0.25"/>
    <row r="494" ht="16.5" customHeight="1" x14ac:dyDescent="0.25"/>
    <row r="495" ht="16.5" customHeight="1" x14ac:dyDescent="0.25"/>
    <row r="496" ht="16.5" customHeight="1" x14ac:dyDescent="0.25"/>
    <row r="497" ht="16.5" customHeight="1" x14ac:dyDescent="0.25"/>
    <row r="498" ht="16.5" customHeight="1" x14ac:dyDescent="0.25"/>
    <row r="499" ht="16.5" customHeight="1" x14ac:dyDescent="0.25"/>
    <row r="500" ht="16.5" customHeight="1" x14ac:dyDescent="0.25"/>
    <row r="501" ht="16.5" customHeight="1" x14ac:dyDescent="0.25"/>
    <row r="502" ht="16.5" customHeight="1" x14ac:dyDescent="0.25"/>
    <row r="503" ht="16.5" customHeight="1" x14ac:dyDescent="0.25"/>
    <row r="504" ht="16.5" customHeight="1" x14ac:dyDescent="0.25"/>
    <row r="505" ht="16.5" customHeight="1" x14ac:dyDescent="0.25"/>
    <row r="506" ht="16.5" customHeight="1" x14ac:dyDescent="0.25"/>
    <row r="507" ht="16.5" customHeight="1" x14ac:dyDescent="0.25"/>
    <row r="508" ht="16.5" customHeight="1" x14ac:dyDescent="0.25"/>
    <row r="509" ht="16.5" customHeight="1" x14ac:dyDescent="0.25"/>
    <row r="510" ht="16.5" customHeight="1" x14ac:dyDescent="0.25"/>
    <row r="511" ht="16.5" customHeight="1" x14ac:dyDescent="0.25"/>
    <row r="512" ht="16.5" customHeight="1" x14ac:dyDescent="0.25"/>
    <row r="513" ht="16.5" customHeight="1" x14ac:dyDescent="0.25"/>
    <row r="514" ht="16.5" customHeight="1" x14ac:dyDescent="0.25"/>
    <row r="515" ht="16.5" customHeight="1" x14ac:dyDescent="0.25"/>
    <row r="516" ht="16.5" customHeight="1" x14ac:dyDescent="0.25"/>
    <row r="517" ht="16.5" customHeight="1" x14ac:dyDescent="0.25"/>
    <row r="518" ht="16.5" customHeight="1" x14ac:dyDescent="0.25"/>
    <row r="519" ht="16.5" customHeight="1" x14ac:dyDescent="0.25"/>
    <row r="520" ht="16.5" customHeight="1" x14ac:dyDescent="0.25"/>
    <row r="521" ht="16.5" customHeight="1" x14ac:dyDescent="0.25"/>
    <row r="522" ht="16.5" customHeight="1" x14ac:dyDescent="0.25"/>
    <row r="523" ht="16.5" customHeight="1" x14ac:dyDescent="0.25"/>
    <row r="524" ht="16.5" customHeight="1" x14ac:dyDescent="0.25"/>
    <row r="525" ht="16.5" customHeight="1" x14ac:dyDescent="0.25"/>
    <row r="526" ht="16.5" customHeight="1" x14ac:dyDescent="0.25"/>
    <row r="527" ht="16.5" customHeight="1" x14ac:dyDescent="0.25"/>
    <row r="528" ht="16.5" customHeight="1" x14ac:dyDescent="0.25"/>
    <row r="529" ht="16.5" customHeight="1" x14ac:dyDescent="0.25"/>
    <row r="530" ht="16.5" customHeight="1" x14ac:dyDescent="0.25"/>
    <row r="531" ht="16.5" customHeight="1" x14ac:dyDescent="0.25"/>
    <row r="532" ht="16.5" customHeight="1" x14ac:dyDescent="0.25"/>
    <row r="533" ht="16.5" customHeight="1" x14ac:dyDescent="0.25"/>
    <row r="534" ht="16.5" customHeight="1" x14ac:dyDescent="0.25"/>
    <row r="535" ht="16.5" customHeight="1" x14ac:dyDescent="0.25"/>
    <row r="536" ht="16.5" customHeight="1" x14ac:dyDescent="0.25"/>
    <row r="537" ht="16.5" customHeight="1" x14ac:dyDescent="0.25"/>
    <row r="538" ht="16.5" customHeight="1" x14ac:dyDescent="0.25"/>
    <row r="539" ht="16.5" customHeight="1" x14ac:dyDescent="0.25"/>
    <row r="540" ht="16.5" customHeight="1" x14ac:dyDescent="0.25"/>
    <row r="541" ht="16.5" customHeight="1" x14ac:dyDescent="0.25"/>
    <row r="542" ht="16.5" customHeight="1" x14ac:dyDescent="0.25"/>
    <row r="543" ht="16.5" customHeight="1" x14ac:dyDescent="0.25"/>
    <row r="544" ht="16.5" customHeight="1" x14ac:dyDescent="0.25"/>
    <row r="545" ht="16.5" customHeight="1" x14ac:dyDescent="0.25"/>
    <row r="546" ht="16.5" customHeight="1" x14ac:dyDescent="0.25"/>
    <row r="547" ht="16.5" customHeight="1" x14ac:dyDescent="0.25"/>
    <row r="548" ht="16.5" customHeight="1" x14ac:dyDescent="0.25"/>
    <row r="549" ht="16.5" customHeight="1" x14ac:dyDescent="0.25"/>
    <row r="550" ht="16.5" customHeight="1" x14ac:dyDescent="0.25"/>
    <row r="551" ht="16.5" customHeight="1" x14ac:dyDescent="0.25"/>
    <row r="552" ht="16.5" customHeight="1" x14ac:dyDescent="0.25"/>
    <row r="553" ht="16.5" customHeight="1" x14ac:dyDescent="0.25"/>
    <row r="554" ht="16.5" customHeight="1" x14ac:dyDescent="0.25"/>
    <row r="555" ht="16.5" customHeight="1" x14ac:dyDescent="0.25"/>
    <row r="556" ht="16.5" customHeight="1" x14ac:dyDescent="0.25"/>
    <row r="557" ht="16.5" customHeight="1" x14ac:dyDescent="0.25"/>
    <row r="558" ht="16.5" customHeight="1" x14ac:dyDescent="0.25"/>
    <row r="559" ht="16.5" customHeight="1" x14ac:dyDescent="0.25"/>
    <row r="560" ht="16.5" customHeight="1" x14ac:dyDescent="0.25"/>
    <row r="561" ht="16.5" customHeight="1" x14ac:dyDescent="0.25"/>
    <row r="562" ht="16.5" customHeight="1" x14ac:dyDescent="0.25"/>
    <row r="563" ht="16.5" customHeight="1" x14ac:dyDescent="0.25"/>
    <row r="564" ht="16.5" customHeight="1" x14ac:dyDescent="0.25"/>
    <row r="565" ht="16.5" customHeight="1" x14ac:dyDescent="0.25"/>
    <row r="566" ht="16.5" customHeight="1" x14ac:dyDescent="0.25"/>
    <row r="567" ht="16.5" customHeight="1" x14ac:dyDescent="0.25"/>
    <row r="568" ht="16.5" customHeight="1" x14ac:dyDescent="0.25"/>
    <row r="569" ht="16.5" customHeight="1" x14ac:dyDescent="0.25"/>
    <row r="570" ht="16.5" customHeight="1" x14ac:dyDescent="0.25"/>
    <row r="571" ht="16.5" customHeight="1" x14ac:dyDescent="0.25"/>
    <row r="572" ht="16.5" customHeight="1" x14ac:dyDescent="0.25"/>
    <row r="573" ht="16.5" customHeight="1" x14ac:dyDescent="0.25"/>
    <row r="574" ht="16.5" customHeight="1" x14ac:dyDescent="0.25"/>
    <row r="575" ht="16.5" customHeight="1" x14ac:dyDescent="0.25"/>
    <row r="576" ht="16.5" customHeight="1" x14ac:dyDescent="0.25"/>
    <row r="577" ht="16.5" customHeight="1" x14ac:dyDescent="0.25"/>
    <row r="578" ht="16.5" customHeight="1" x14ac:dyDescent="0.25"/>
    <row r="579" ht="16.5" customHeight="1" x14ac:dyDescent="0.25"/>
    <row r="580" ht="16.5" customHeight="1" x14ac:dyDescent="0.25"/>
    <row r="581" ht="16.5" customHeight="1" x14ac:dyDescent="0.25"/>
    <row r="582" ht="16.5" customHeight="1" x14ac:dyDescent="0.25"/>
    <row r="583" ht="16.5" customHeight="1" x14ac:dyDescent="0.25"/>
    <row r="584" ht="16.5" customHeight="1" x14ac:dyDescent="0.25"/>
    <row r="585" ht="16.5" customHeight="1" x14ac:dyDescent="0.25"/>
    <row r="586" ht="16.5" customHeight="1" x14ac:dyDescent="0.25"/>
    <row r="587" ht="16.5" customHeight="1" x14ac:dyDescent="0.25"/>
    <row r="588" ht="16.5" customHeight="1" x14ac:dyDescent="0.25"/>
    <row r="589" ht="16.5" customHeight="1" x14ac:dyDescent="0.25"/>
    <row r="590" ht="16.5" customHeight="1" x14ac:dyDescent="0.25"/>
    <row r="591" ht="16.5" customHeight="1" x14ac:dyDescent="0.25"/>
    <row r="592" ht="16.5" customHeight="1" x14ac:dyDescent="0.25"/>
    <row r="593" ht="16.5" customHeight="1" x14ac:dyDescent="0.25"/>
    <row r="594" ht="16.5" customHeight="1" x14ac:dyDescent="0.25"/>
    <row r="595" ht="16.5" customHeight="1" x14ac:dyDescent="0.25"/>
    <row r="596" ht="16.5" customHeight="1" x14ac:dyDescent="0.25"/>
    <row r="597" ht="16.5" customHeight="1" x14ac:dyDescent="0.25"/>
    <row r="598" ht="16.5" customHeight="1" x14ac:dyDescent="0.25"/>
    <row r="599" ht="16.5" customHeight="1" x14ac:dyDescent="0.25"/>
    <row r="600" ht="16.5" customHeight="1" x14ac:dyDescent="0.25"/>
    <row r="601" ht="16.5" customHeight="1" x14ac:dyDescent="0.25"/>
    <row r="602" ht="16.5" customHeight="1" x14ac:dyDescent="0.25"/>
    <row r="603" ht="16.5" customHeight="1" x14ac:dyDescent="0.25"/>
    <row r="604" ht="16.5" customHeight="1" x14ac:dyDescent="0.25"/>
    <row r="605" ht="16.5" customHeight="1" x14ac:dyDescent="0.25"/>
    <row r="606" ht="16.5" customHeight="1" x14ac:dyDescent="0.25"/>
    <row r="607" ht="16.5" customHeight="1" x14ac:dyDescent="0.25"/>
    <row r="608" ht="16.5" customHeight="1" x14ac:dyDescent="0.25"/>
    <row r="609" ht="16.5" customHeight="1" x14ac:dyDescent="0.25"/>
    <row r="610" ht="16.5" customHeight="1" x14ac:dyDescent="0.25"/>
    <row r="611" ht="16.5" customHeight="1" x14ac:dyDescent="0.25"/>
    <row r="612" ht="16.5" customHeight="1" x14ac:dyDescent="0.25"/>
    <row r="613" ht="16.5" customHeight="1" x14ac:dyDescent="0.25"/>
    <row r="614" ht="16.5" customHeight="1" x14ac:dyDescent="0.25"/>
    <row r="615" ht="16.5" customHeight="1" x14ac:dyDescent="0.25"/>
    <row r="616" ht="16.5" customHeight="1" x14ac:dyDescent="0.25"/>
    <row r="617" ht="16.5" customHeight="1" x14ac:dyDescent="0.25"/>
    <row r="618" ht="16.5" customHeight="1" x14ac:dyDescent="0.25"/>
    <row r="619" ht="16.5" customHeight="1" x14ac:dyDescent="0.25"/>
    <row r="620" ht="16.5" customHeight="1" x14ac:dyDescent="0.25"/>
    <row r="621" ht="16.5" customHeight="1" x14ac:dyDescent="0.25"/>
    <row r="622" ht="16.5" customHeight="1" x14ac:dyDescent="0.25"/>
    <row r="623" ht="16.5" customHeight="1" x14ac:dyDescent="0.25"/>
    <row r="624" ht="16.5" customHeight="1" x14ac:dyDescent="0.25"/>
    <row r="625" ht="16.5" customHeight="1" x14ac:dyDescent="0.25"/>
    <row r="626" ht="16.5" customHeight="1" x14ac:dyDescent="0.25"/>
    <row r="627" ht="16.5" customHeight="1" x14ac:dyDescent="0.25"/>
    <row r="628" ht="16.5" customHeight="1" x14ac:dyDescent="0.25"/>
    <row r="629" ht="16.5" customHeight="1" x14ac:dyDescent="0.25"/>
    <row r="630" ht="16.5" customHeight="1" x14ac:dyDescent="0.25"/>
    <row r="631" ht="16.5" customHeight="1" x14ac:dyDescent="0.25"/>
    <row r="632" ht="16.5" customHeight="1" x14ac:dyDescent="0.25"/>
    <row r="633" ht="16.5" customHeight="1" x14ac:dyDescent="0.25"/>
    <row r="634" ht="16.5" customHeight="1" x14ac:dyDescent="0.25"/>
    <row r="635" ht="16.5" customHeight="1" x14ac:dyDescent="0.25"/>
    <row r="636" ht="16.5" customHeight="1" x14ac:dyDescent="0.25"/>
    <row r="637" ht="16.5" customHeight="1" x14ac:dyDescent="0.25"/>
    <row r="638" ht="16.5" customHeight="1" x14ac:dyDescent="0.25"/>
    <row r="639" ht="16.5" customHeight="1" x14ac:dyDescent="0.25"/>
    <row r="640" ht="16.5" customHeight="1" x14ac:dyDescent="0.25"/>
    <row r="641" ht="16.5" customHeight="1" x14ac:dyDescent="0.25"/>
    <row r="642" ht="16.5" customHeight="1" x14ac:dyDescent="0.25"/>
    <row r="643" ht="16.5" customHeight="1" x14ac:dyDescent="0.25"/>
    <row r="644" ht="16.5" customHeight="1" x14ac:dyDescent="0.25"/>
    <row r="645" ht="16.5" customHeight="1" x14ac:dyDescent="0.25"/>
    <row r="646" ht="16.5" customHeight="1" x14ac:dyDescent="0.25"/>
    <row r="647" ht="16.5" customHeight="1" x14ac:dyDescent="0.25"/>
    <row r="648" ht="16.5" customHeight="1" x14ac:dyDescent="0.25"/>
    <row r="649" ht="16.5" customHeight="1" x14ac:dyDescent="0.25"/>
    <row r="650" ht="16.5" customHeight="1" x14ac:dyDescent="0.25"/>
    <row r="651" ht="16.5" customHeight="1" x14ac:dyDescent="0.25"/>
    <row r="652" ht="16.5" customHeight="1" x14ac:dyDescent="0.25"/>
    <row r="653" ht="16.5" customHeight="1" x14ac:dyDescent="0.25"/>
    <row r="654" ht="16.5" customHeight="1" x14ac:dyDescent="0.25"/>
    <row r="655" ht="16.5" customHeight="1" x14ac:dyDescent="0.25"/>
    <row r="656" ht="16.5" customHeight="1" x14ac:dyDescent="0.25"/>
    <row r="657" ht="16.5" customHeight="1" x14ac:dyDescent="0.25"/>
    <row r="658" ht="16.5" customHeight="1" x14ac:dyDescent="0.25"/>
    <row r="659" ht="16.5" customHeight="1" x14ac:dyDescent="0.25"/>
    <row r="660" ht="16.5" customHeight="1" x14ac:dyDescent="0.25"/>
    <row r="661" ht="16.5" customHeight="1" x14ac:dyDescent="0.25"/>
    <row r="662" ht="16.5" customHeight="1" x14ac:dyDescent="0.25"/>
    <row r="663" ht="16.5" customHeight="1" x14ac:dyDescent="0.25"/>
    <row r="664" ht="16.5" customHeight="1" x14ac:dyDescent="0.25"/>
    <row r="665" ht="16.5" customHeight="1" x14ac:dyDescent="0.25"/>
    <row r="666" ht="16.5" customHeight="1" x14ac:dyDescent="0.25"/>
    <row r="667" ht="16.5" customHeight="1" x14ac:dyDescent="0.25"/>
    <row r="668" ht="16.5" customHeight="1" x14ac:dyDescent="0.25"/>
    <row r="669" ht="16.5" customHeight="1" x14ac:dyDescent="0.25"/>
    <row r="670" ht="16.5" customHeight="1" x14ac:dyDescent="0.25"/>
    <row r="671" ht="16.5" customHeight="1" x14ac:dyDescent="0.25"/>
    <row r="672" ht="16.5" customHeight="1" x14ac:dyDescent="0.25"/>
    <row r="673" ht="16.5" customHeight="1" x14ac:dyDescent="0.25"/>
    <row r="674" ht="16.5" customHeight="1" x14ac:dyDescent="0.25"/>
    <row r="675" ht="16.5" customHeight="1" x14ac:dyDescent="0.25"/>
    <row r="676" ht="16.5" customHeight="1" x14ac:dyDescent="0.25"/>
    <row r="677" ht="16.5" customHeight="1" x14ac:dyDescent="0.25"/>
    <row r="678" ht="16.5" customHeight="1" x14ac:dyDescent="0.25"/>
    <row r="679" ht="16.5" customHeight="1" x14ac:dyDescent="0.25"/>
    <row r="680" ht="16.5" customHeight="1" x14ac:dyDescent="0.25"/>
    <row r="681" ht="16.5" customHeight="1" x14ac:dyDescent="0.25"/>
    <row r="682" ht="16.5" customHeight="1" x14ac:dyDescent="0.25"/>
    <row r="683" ht="16.5" customHeight="1" x14ac:dyDescent="0.25"/>
    <row r="684" ht="16.5" customHeight="1" x14ac:dyDescent="0.25"/>
    <row r="685" ht="16.5" customHeight="1" x14ac:dyDescent="0.25"/>
    <row r="686" ht="16.5" customHeight="1" x14ac:dyDescent="0.25"/>
    <row r="687" ht="16.5" customHeight="1" x14ac:dyDescent="0.25"/>
    <row r="688" ht="16.5" customHeight="1" x14ac:dyDescent="0.25"/>
    <row r="689" ht="16.5" customHeight="1" x14ac:dyDescent="0.25"/>
    <row r="690" ht="16.5" customHeight="1" x14ac:dyDescent="0.25"/>
    <row r="691" ht="16.5" customHeight="1" x14ac:dyDescent="0.25"/>
    <row r="692" ht="16.5" customHeight="1" x14ac:dyDescent="0.25"/>
    <row r="693" ht="16.5" customHeight="1" x14ac:dyDescent="0.25"/>
    <row r="694" ht="16.5" customHeight="1" x14ac:dyDescent="0.25"/>
    <row r="695" ht="16.5" customHeight="1" x14ac:dyDescent="0.25"/>
    <row r="696" ht="16.5" customHeight="1" x14ac:dyDescent="0.25"/>
    <row r="697" ht="16.5" customHeight="1" x14ac:dyDescent="0.25"/>
    <row r="698" ht="16.5" customHeight="1" x14ac:dyDescent="0.25"/>
    <row r="699" ht="16.5" customHeight="1" x14ac:dyDescent="0.25"/>
    <row r="700" ht="16.5" customHeight="1" x14ac:dyDescent="0.25"/>
    <row r="701" ht="16.5" customHeight="1" x14ac:dyDescent="0.25"/>
    <row r="702" ht="16.5" customHeight="1" x14ac:dyDescent="0.25"/>
    <row r="703" ht="16.5" customHeight="1" x14ac:dyDescent="0.25"/>
    <row r="704" ht="16.5" customHeight="1" x14ac:dyDescent="0.25"/>
    <row r="705" ht="16.5" customHeight="1" x14ac:dyDescent="0.25"/>
    <row r="706" ht="16.5" customHeight="1" x14ac:dyDescent="0.25"/>
    <row r="707" ht="16.5" customHeight="1" x14ac:dyDescent="0.25"/>
    <row r="708" ht="16.5" customHeight="1" x14ac:dyDescent="0.25"/>
    <row r="709" ht="16.5" customHeight="1" x14ac:dyDescent="0.25"/>
    <row r="710" ht="16.5" customHeight="1" x14ac:dyDescent="0.25"/>
    <row r="711" ht="16.5" customHeight="1" x14ac:dyDescent="0.25"/>
    <row r="712" ht="16.5" customHeight="1" x14ac:dyDescent="0.25"/>
    <row r="713" ht="16.5" customHeight="1" x14ac:dyDescent="0.25"/>
    <row r="714" ht="16.5" customHeight="1" x14ac:dyDescent="0.25"/>
    <row r="715" ht="16.5" customHeight="1" x14ac:dyDescent="0.25"/>
    <row r="716" ht="16.5" customHeight="1" x14ac:dyDescent="0.25"/>
    <row r="717" ht="16.5" customHeight="1" x14ac:dyDescent="0.25"/>
    <row r="718" ht="16.5" customHeight="1" x14ac:dyDescent="0.25"/>
    <row r="719" ht="16.5" customHeight="1" x14ac:dyDescent="0.25"/>
    <row r="720" ht="16.5" customHeight="1" x14ac:dyDescent="0.25"/>
    <row r="721" ht="16.5" customHeight="1" x14ac:dyDescent="0.25"/>
    <row r="722" ht="16.5" customHeight="1" x14ac:dyDescent="0.25"/>
    <row r="723" ht="16.5" customHeight="1" x14ac:dyDescent="0.25"/>
    <row r="724" ht="16.5" customHeight="1" x14ac:dyDescent="0.25"/>
    <row r="725" ht="16.5" customHeight="1" x14ac:dyDescent="0.25"/>
    <row r="726" ht="16.5" customHeight="1" x14ac:dyDescent="0.25"/>
    <row r="727" ht="16.5" customHeight="1" x14ac:dyDescent="0.25"/>
    <row r="728" ht="16.5" customHeight="1" x14ac:dyDescent="0.25"/>
    <row r="729" ht="16.5" customHeight="1" x14ac:dyDescent="0.25"/>
    <row r="730" ht="16.5" customHeight="1" x14ac:dyDescent="0.25"/>
    <row r="731" ht="16.5" customHeight="1" x14ac:dyDescent="0.25"/>
    <row r="732" ht="16.5" customHeight="1" x14ac:dyDescent="0.25"/>
    <row r="733" ht="16.5" customHeight="1" x14ac:dyDescent="0.25"/>
    <row r="734" ht="16.5" customHeight="1" x14ac:dyDescent="0.25"/>
    <row r="735" ht="16.5" customHeight="1" x14ac:dyDescent="0.25"/>
    <row r="736" ht="16.5" customHeight="1" x14ac:dyDescent="0.25"/>
    <row r="737" ht="16.5" customHeight="1" x14ac:dyDescent="0.25"/>
    <row r="738" ht="16.5" customHeight="1" x14ac:dyDescent="0.25"/>
    <row r="739" ht="16.5" customHeight="1" x14ac:dyDescent="0.25"/>
    <row r="740" ht="16.5" customHeight="1" x14ac:dyDescent="0.25"/>
    <row r="741" ht="16.5" customHeight="1" x14ac:dyDescent="0.25"/>
    <row r="742" ht="16.5" customHeight="1" x14ac:dyDescent="0.25"/>
    <row r="743" ht="16.5" customHeight="1" x14ac:dyDescent="0.25"/>
    <row r="744" ht="16.5" customHeight="1" x14ac:dyDescent="0.25"/>
    <row r="745" ht="16.5" customHeight="1" x14ac:dyDescent="0.25"/>
    <row r="746" ht="16.5" customHeight="1" x14ac:dyDescent="0.25"/>
    <row r="747" ht="16.5" customHeight="1" x14ac:dyDescent="0.25"/>
    <row r="748" ht="16.5" customHeight="1" x14ac:dyDescent="0.25"/>
    <row r="749" ht="16.5" customHeight="1" x14ac:dyDescent="0.25"/>
    <row r="750" ht="16.5" customHeight="1" x14ac:dyDescent="0.25"/>
    <row r="751" ht="16.5" customHeight="1" x14ac:dyDescent="0.25"/>
    <row r="752" ht="16.5" customHeight="1" x14ac:dyDescent="0.25"/>
    <row r="753" ht="16.5" customHeight="1" x14ac:dyDescent="0.25"/>
    <row r="754" ht="16.5" customHeight="1" x14ac:dyDescent="0.25"/>
    <row r="755" ht="16.5" customHeight="1" x14ac:dyDescent="0.25"/>
    <row r="756" ht="16.5" customHeight="1" x14ac:dyDescent="0.25"/>
    <row r="757" ht="16.5" customHeight="1" x14ac:dyDescent="0.25"/>
    <row r="758" ht="16.5" customHeight="1" x14ac:dyDescent="0.25"/>
    <row r="759" ht="16.5" customHeight="1" x14ac:dyDescent="0.25"/>
    <row r="760" ht="16.5" customHeight="1" x14ac:dyDescent="0.25"/>
    <row r="761" ht="16.5" customHeight="1" x14ac:dyDescent="0.25"/>
    <row r="762" ht="16.5" customHeight="1" x14ac:dyDescent="0.25"/>
    <row r="763" ht="16.5" customHeight="1" x14ac:dyDescent="0.25"/>
    <row r="764" ht="16.5" customHeight="1" x14ac:dyDescent="0.25"/>
    <row r="765" ht="16.5" customHeight="1" x14ac:dyDescent="0.25"/>
    <row r="766" ht="16.5" customHeight="1" x14ac:dyDescent="0.25"/>
    <row r="767" ht="16.5" customHeight="1" x14ac:dyDescent="0.25"/>
    <row r="768" ht="16.5" customHeight="1" x14ac:dyDescent="0.25"/>
    <row r="769" ht="16.5" customHeight="1" x14ac:dyDescent="0.25"/>
    <row r="770" ht="16.5" customHeight="1" x14ac:dyDescent="0.25"/>
    <row r="771" ht="16.5" customHeight="1" x14ac:dyDescent="0.25"/>
    <row r="772" ht="16.5" customHeight="1" x14ac:dyDescent="0.25"/>
    <row r="773" ht="16.5" customHeight="1" x14ac:dyDescent="0.25"/>
    <row r="774" ht="16.5" customHeight="1" x14ac:dyDescent="0.25"/>
    <row r="775" ht="16.5" customHeight="1" x14ac:dyDescent="0.25"/>
    <row r="776" ht="16.5" customHeight="1" x14ac:dyDescent="0.25"/>
    <row r="777" ht="16.5" customHeight="1" x14ac:dyDescent="0.25"/>
    <row r="778" ht="16.5" customHeight="1" x14ac:dyDescent="0.25"/>
    <row r="779" ht="16.5" customHeight="1" x14ac:dyDescent="0.25"/>
    <row r="780" ht="16.5" customHeight="1" x14ac:dyDescent="0.25"/>
    <row r="781" ht="16.5" customHeight="1" x14ac:dyDescent="0.25"/>
    <row r="782" ht="16.5" customHeight="1" x14ac:dyDescent="0.25"/>
    <row r="783" ht="16.5" customHeight="1" x14ac:dyDescent="0.25"/>
    <row r="784" ht="16.5" customHeight="1" x14ac:dyDescent="0.25"/>
    <row r="785" ht="16.5" customHeight="1" x14ac:dyDescent="0.25"/>
    <row r="786" ht="16.5" customHeight="1" x14ac:dyDescent="0.25"/>
    <row r="787" ht="16.5" customHeight="1" x14ac:dyDescent="0.25"/>
    <row r="788" ht="16.5" customHeight="1" x14ac:dyDescent="0.25"/>
    <row r="789" ht="16.5" customHeight="1" x14ac:dyDescent="0.25"/>
    <row r="790" ht="16.5" customHeight="1" x14ac:dyDescent="0.25"/>
    <row r="791" ht="16.5" customHeight="1" x14ac:dyDescent="0.25"/>
    <row r="792" ht="16.5" customHeight="1" x14ac:dyDescent="0.25"/>
    <row r="793" ht="16.5" customHeight="1" x14ac:dyDescent="0.25"/>
    <row r="794" ht="16.5" customHeight="1" x14ac:dyDescent="0.25"/>
    <row r="795" ht="16.5" customHeight="1" x14ac:dyDescent="0.25"/>
    <row r="796" ht="16.5" customHeight="1" x14ac:dyDescent="0.25"/>
    <row r="797" ht="16.5" customHeight="1" x14ac:dyDescent="0.25"/>
    <row r="798" ht="16.5" customHeight="1" x14ac:dyDescent="0.25"/>
    <row r="799" ht="16.5" customHeight="1" x14ac:dyDescent="0.25"/>
    <row r="800" ht="16.5" customHeight="1" x14ac:dyDescent="0.25"/>
    <row r="801" ht="16.5" customHeight="1" x14ac:dyDescent="0.25"/>
    <row r="802" ht="16.5" customHeight="1" x14ac:dyDescent="0.25"/>
    <row r="803" ht="16.5" customHeight="1" x14ac:dyDescent="0.25"/>
    <row r="804" ht="16.5" customHeight="1" x14ac:dyDescent="0.25"/>
    <row r="805" ht="16.5" customHeight="1" x14ac:dyDescent="0.25"/>
    <row r="806" ht="16.5" customHeight="1" x14ac:dyDescent="0.25"/>
    <row r="807" ht="16.5" customHeight="1" x14ac:dyDescent="0.25"/>
    <row r="808" ht="16.5" customHeight="1" x14ac:dyDescent="0.25"/>
    <row r="809" ht="16.5" customHeight="1" x14ac:dyDescent="0.25"/>
    <row r="810" ht="16.5" customHeight="1" x14ac:dyDescent="0.25"/>
    <row r="811" ht="16.5" customHeight="1" x14ac:dyDescent="0.25"/>
    <row r="812" ht="16.5" customHeight="1" x14ac:dyDescent="0.25"/>
    <row r="813" ht="16.5" customHeight="1" x14ac:dyDescent="0.25"/>
    <row r="814" ht="16.5" customHeight="1" x14ac:dyDescent="0.25"/>
    <row r="815" ht="16.5" customHeight="1" x14ac:dyDescent="0.25"/>
    <row r="816" ht="16.5" customHeight="1" x14ac:dyDescent="0.25"/>
    <row r="817" ht="16.5" customHeight="1" x14ac:dyDescent="0.25"/>
    <row r="818" ht="16.5" customHeight="1" x14ac:dyDescent="0.25"/>
    <row r="819" ht="16.5" customHeight="1" x14ac:dyDescent="0.25"/>
    <row r="820" ht="16.5" customHeight="1" x14ac:dyDescent="0.25"/>
    <row r="821" ht="16.5" customHeight="1" x14ac:dyDescent="0.25"/>
    <row r="822" ht="16.5" customHeight="1" x14ac:dyDescent="0.25"/>
    <row r="823" ht="16.5" customHeight="1" x14ac:dyDescent="0.25"/>
    <row r="824" ht="16.5" customHeight="1" x14ac:dyDescent="0.25"/>
    <row r="825" ht="16.5" customHeight="1" x14ac:dyDescent="0.25"/>
    <row r="826" ht="16.5" customHeight="1" x14ac:dyDescent="0.25"/>
    <row r="827" ht="16.5" customHeight="1" x14ac:dyDescent="0.25"/>
    <row r="828" ht="16.5" customHeight="1" x14ac:dyDescent="0.25"/>
    <row r="829" ht="16.5" customHeight="1" x14ac:dyDescent="0.25"/>
    <row r="830" ht="16.5" customHeight="1" x14ac:dyDescent="0.25"/>
    <row r="831" ht="16.5" customHeight="1" x14ac:dyDescent="0.25"/>
    <row r="832" ht="16.5" customHeight="1" x14ac:dyDescent="0.25"/>
    <row r="833" ht="16.5" customHeight="1" x14ac:dyDescent="0.25"/>
    <row r="834" ht="16.5" customHeight="1" x14ac:dyDescent="0.25"/>
    <row r="835" ht="16.5" customHeight="1" x14ac:dyDescent="0.25"/>
    <row r="836" ht="16.5" customHeight="1" x14ac:dyDescent="0.25"/>
    <row r="837" ht="16.5" customHeight="1" x14ac:dyDescent="0.25"/>
    <row r="838" ht="16.5" customHeight="1" x14ac:dyDescent="0.25"/>
    <row r="839" ht="16.5" customHeight="1" x14ac:dyDescent="0.25"/>
    <row r="840" ht="16.5" customHeight="1" x14ac:dyDescent="0.25"/>
    <row r="841" ht="16.5" customHeight="1" x14ac:dyDescent="0.25"/>
    <row r="842" ht="16.5" customHeight="1" x14ac:dyDescent="0.25"/>
    <row r="843" ht="16.5" customHeight="1" x14ac:dyDescent="0.25"/>
    <row r="844" ht="16.5" customHeight="1" x14ac:dyDescent="0.25"/>
    <row r="845" ht="16.5" customHeight="1" x14ac:dyDescent="0.25"/>
    <row r="846" ht="16.5" customHeight="1" x14ac:dyDescent="0.25"/>
    <row r="847" ht="16.5" customHeight="1" x14ac:dyDescent="0.25"/>
    <row r="848" ht="16.5" customHeight="1" x14ac:dyDescent="0.25"/>
    <row r="849" ht="16.5" customHeight="1" x14ac:dyDescent="0.25"/>
    <row r="850" ht="16.5" customHeight="1" x14ac:dyDescent="0.25"/>
    <row r="851" ht="16.5" customHeight="1" x14ac:dyDescent="0.25"/>
    <row r="852" ht="16.5" customHeight="1" x14ac:dyDescent="0.25"/>
    <row r="853" ht="16.5" customHeight="1" x14ac:dyDescent="0.25"/>
    <row r="854" ht="16.5" customHeight="1" x14ac:dyDescent="0.25"/>
    <row r="855" ht="16.5" customHeight="1" x14ac:dyDescent="0.25"/>
    <row r="856" ht="16.5" customHeight="1" x14ac:dyDescent="0.25"/>
    <row r="857" ht="16.5" customHeight="1" x14ac:dyDescent="0.25"/>
    <row r="858" ht="16.5" customHeight="1" x14ac:dyDescent="0.25"/>
    <row r="859" ht="16.5" customHeight="1" x14ac:dyDescent="0.25"/>
    <row r="860" ht="16.5" customHeight="1" x14ac:dyDescent="0.25"/>
    <row r="861" ht="16.5" customHeight="1" x14ac:dyDescent="0.25"/>
    <row r="862" ht="16.5" customHeight="1" x14ac:dyDescent="0.25"/>
    <row r="863" ht="16.5" customHeight="1" x14ac:dyDescent="0.25"/>
    <row r="864" ht="16.5" customHeight="1" x14ac:dyDescent="0.25"/>
    <row r="865" ht="16.5" customHeight="1" x14ac:dyDescent="0.25"/>
    <row r="866" ht="16.5" customHeight="1" x14ac:dyDescent="0.25"/>
    <row r="867" ht="16.5" customHeight="1" x14ac:dyDescent="0.25"/>
    <row r="868" ht="16.5" customHeight="1" x14ac:dyDescent="0.25"/>
    <row r="869" ht="16.5" customHeight="1" x14ac:dyDescent="0.25"/>
    <row r="870" ht="16.5" customHeight="1" x14ac:dyDescent="0.25"/>
    <row r="871" ht="16.5" customHeight="1" x14ac:dyDescent="0.25"/>
    <row r="872" ht="16.5" customHeight="1" x14ac:dyDescent="0.25"/>
    <row r="873" ht="16.5" customHeight="1" x14ac:dyDescent="0.25"/>
    <row r="874" ht="16.5" customHeight="1" x14ac:dyDescent="0.25"/>
    <row r="875" ht="16.5" customHeight="1" x14ac:dyDescent="0.25"/>
    <row r="876" ht="16.5" customHeight="1" x14ac:dyDescent="0.25"/>
    <row r="877" ht="16.5" customHeight="1" x14ac:dyDescent="0.25"/>
    <row r="878" ht="16.5" customHeight="1" x14ac:dyDescent="0.25"/>
    <row r="879" ht="16.5" customHeight="1" x14ac:dyDescent="0.25"/>
    <row r="880" ht="16.5" customHeight="1" x14ac:dyDescent="0.25"/>
    <row r="881" ht="16.5" customHeight="1" x14ac:dyDescent="0.25"/>
    <row r="882" ht="16.5" customHeight="1" x14ac:dyDescent="0.25"/>
    <row r="883" ht="16.5" customHeight="1" x14ac:dyDescent="0.25"/>
    <row r="884" ht="16.5" customHeight="1" x14ac:dyDescent="0.25"/>
    <row r="885" ht="16.5" customHeight="1" x14ac:dyDescent="0.25"/>
    <row r="886" ht="16.5" customHeight="1" x14ac:dyDescent="0.25"/>
    <row r="887" ht="16.5" customHeight="1" x14ac:dyDescent="0.25"/>
    <row r="888" ht="16.5" customHeight="1" x14ac:dyDescent="0.25"/>
    <row r="889" ht="16.5" customHeight="1" x14ac:dyDescent="0.25"/>
    <row r="890" ht="16.5" customHeight="1" x14ac:dyDescent="0.25"/>
    <row r="891" ht="16.5" customHeight="1" x14ac:dyDescent="0.25"/>
    <row r="892" ht="16.5" customHeight="1" x14ac:dyDescent="0.25"/>
    <row r="893" ht="16.5" customHeight="1" x14ac:dyDescent="0.25"/>
    <row r="894" ht="16.5" customHeight="1" x14ac:dyDescent="0.25"/>
    <row r="895" ht="16.5" customHeight="1" x14ac:dyDescent="0.25"/>
    <row r="896" ht="16.5" customHeight="1" x14ac:dyDescent="0.25"/>
    <row r="897" ht="16.5" customHeight="1" x14ac:dyDescent="0.25"/>
    <row r="898" ht="16.5" customHeight="1" x14ac:dyDescent="0.25"/>
    <row r="899" ht="16.5" customHeight="1" x14ac:dyDescent="0.25"/>
    <row r="900" ht="16.5" customHeight="1" x14ac:dyDescent="0.25"/>
    <row r="901" ht="16.5" customHeight="1" x14ac:dyDescent="0.25"/>
    <row r="902" ht="16.5" customHeight="1" x14ac:dyDescent="0.25"/>
    <row r="903" ht="16.5" customHeight="1" x14ac:dyDescent="0.25"/>
    <row r="904" ht="16.5" customHeight="1" x14ac:dyDescent="0.25"/>
    <row r="905" ht="16.5" customHeight="1" x14ac:dyDescent="0.25"/>
    <row r="906" ht="16.5" customHeight="1" x14ac:dyDescent="0.25"/>
    <row r="907" ht="16.5" customHeight="1" x14ac:dyDescent="0.25"/>
    <row r="908" ht="16.5" customHeight="1" x14ac:dyDescent="0.25"/>
    <row r="909" ht="16.5" customHeight="1" x14ac:dyDescent="0.25"/>
    <row r="910" ht="16.5" customHeight="1" x14ac:dyDescent="0.25"/>
    <row r="911" ht="16.5" customHeight="1" x14ac:dyDescent="0.25"/>
    <row r="912" ht="16.5" customHeight="1" x14ac:dyDescent="0.25"/>
    <row r="913" ht="16.5" customHeight="1" x14ac:dyDescent="0.25"/>
    <row r="914" ht="16.5" customHeight="1" x14ac:dyDescent="0.25"/>
    <row r="915" ht="16.5" customHeight="1" x14ac:dyDescent="0.25"/>
    <row r="916" ht="16.5" customHeight="1" x14ac:dyDescent="0.25"/>
    <row r="917" ht="16.5" customHeight="1" x14ac:dyDescent="0.25"/>
    <row r="918" ht="16.5" customHeight="1" x14ac:dyDescent="0.25"/>
    <row r="919" ht="16.5" customHeight="1" x14ac:dyDescent="0.25"/>
    <row r="920" ht="16.5" customHeight="1" x14ac:dyDescent="0.25"/>
    <row r="921" ht="16.5" customHeight="1" x14ac:dyDescent="0.25"/>
    <row r="922" ht="16.5" customHeight="1" x14ac:dyDescent="0.25"/>
    <row r="923" ht="16.5" customHeight="1" x14ac:dyDescent="0.25"/>
    <row r="924" ht="16.5" customHeight="1" x14ac:dyDescent="0.25"/>
    <row r="925" ht="16.5" customHeight="1" x14ac:dyDescent="0.25"/>
    <row r="926" ht="16.5" customHeight="1" x14ac:dyDescent="0.25"/>
    <row r="927" ht="16.5" customHeight="1" x14ac:dyDescent="0.25"/>
    <row r="928" ht="16.5" customHeight="1" x14ac:dyDescent="0.25"/>
    <row r="929" ht="16.5" customHeight="1" x14ac:dyDescent="0.25"/>
    <row r="930" ht="16.5" customHeight="1" x14ac:dyDescent="0.25"/>
    <row r="931" ht="16.5" customHeight="1" x14ac:dyDescent="0.25"/>
    <row r="932" ht="16.5" customHeight="1" x14ac:dyDescent="0.25"/>
    <row r="933" ht="16.5" customHeight="1" x14ac:dyDescent="0.25"/>
    <row r="934" ht="16.5" customHeight="1" x14ac:dyDescent="0.25"/>
    <row r="935" ht="16.5" customHeight="1" x14ac:dyDescent="0.25"/>
    <row r="936" ht="16.5" customHeight="1" x14ac:dyDescent="0.25"/>
    <row r="937" ht="16.5" customHeight="1" x14ac:dyDescent="0.25"/>
    <row r="938" ht="16.5" customHeight="1" x14ac:dyDescent="0.25"/>
    <row r="939" ht="16.5" customHeight="1" x14ac:dyDescent="0.25"/>
    <row r="940" ht="16.5" customHeight="1" x14ac:dyDescent="0.25"/>
    <row r="941" ht="16.5" customHeight="1" x14ac:dyDescent="0.25"/>
    <row r="942" ht="16.5" customHeight="1" x14ac:dyDescent="0.25"/>
    <row r="943" ht="16.5" customHeight="1" x14ac:dyDescent="0.25"/>
    <row r="944" ht="16.5" customHeight="1" x14ac:dyDescent="0.25"/>
    <row r="945" ht="16.5" customHeight="1" x14ac:dyDescent="0.25"/>
    <row r="946" ht="16.5" customHeight="1" x14ac:dyDescent="0.25"/>
    <row r="947" ht="16.5" customHeight="1" x14ac:dyDescent="0.25"/>
    <row r="948" ht="16.5" customHeight="1" x14ac:dyDescent="0.25"/>
    <row r="949" ht="16.5" customHeight="1" x14ac:dyDescent="0.25"/>
    <row r="950" ht="16.5" customHeight="1" x14ac:dyDescent="0.25"/>
    <row r="951" ht="16.5" customHeight="1" x14ac:dyDescent="0.25"/>
    <row r="952" ht="16.5" customHeight="1" x14ac:dyDescent="0.25"/>
    <row r="953" ht="16.5" customHeight="1" x14ac:dyDescent="0.25"/>
    <row r="954" ht="16.5" customHeight="1" x14ac:dyDescent="0.25"/>
    <row r="955" ht="16.5" customHeight="1" x14ac:dyDescent="0.25"/>
    <row r="956" ht="16.5" customHeight="1" x14ac:dyDescent="0.25"/>
    <row r="957" ht="16.5" customHeight="1" x14ac:dyDescent="0.25"/>
    <row r="958" ht="16.5" customHeight="1" x14ac:dyDescent="0.25"/>
    <row r="959" ht="16.5" customHeight="1" x14ac:dyDescent="0.25"/>
    <row r="960" ht="16.5" customHeight="1" x14ac:dyDescent="0.25"/>
    <row r="961" ht="16.5" customHeight="1" x14ac:dyDescent="0.25"/>
    <row r="962" ht="16.5" customHeight="1" x14ac:dyDescent="0.25"/>
    <row r="963" ht="16.5" customHeight="1" x14ac:dyDescent="0.25"/>
    <row r="964" ht="16.5" customHeight="1" x14ac:dyDescent="0.25"/>
    <row r="965" ht="16.5" customHeight="1" x14ac:dyDescent="0.25"/>
    <row r="966" ht="16.5" customHeight="1" x14ac:dyDescent="0.25"/>
    <row r="967" ht="16.5" customHeight="1" x14ac:dyDescent="0.25"/>
    <row r="968" ht="16.5" customHeight="1" x14ac:dyDescent="0.25"/>
    <row r="969" ht="16.5" customHeight="1" x14ac:dyDescent="0.25"/>
    <row r="970" ht="16.5" customHeight="1" x14ac:dyDescent="0.25"/>
    <row r="971" ht="16.5" customHeight="1" x14ac:dyDescent="0.25"/>
    <row r="972" ht="16.5" customHeight="1" x14ac:dyDescent="0.25"/>
    <row r="973" ht="16.5" customHeight="1" x14ac:dyDescent="0.25"/>
    <row r="974" ht="16.5" customHeight="1" x14ac:dyDescent="0.25"/>
    <row r="975" ht="16.5" customHeight="1" x14ac:dyDescent="0.25"/>
    <row r="976" ht="16.5" customHeight="1" x14ac:dyDescent="0.25"/>
    <row r="977" ht="16.5" customHeight="1" x14ac:dyDescent="0.25"/>
    <row r="978" ht="16.5" customHeight="1" x14ac:dyDescent="0.25"/>
    <row r="979" ht="16.5" customHeight="1" x14ac:dyDescent="0.25"/>
    <row r="980" ht="16.5" customHeight="1" x14ac:dyDescent="0.25"/>
    <row r="981" ht="16.5" customHeight="1" x14ac:dyDescent="0.25"/>
    <row r="982" ht="16.5" customHeight="1" x14ac:dyDescent="0.25"/>
    <row r="983" ht="16.5" customHeight="1" x14ac:dyDescent="0.25"/>
    <row r="984" ht="16.5" customHeight="1" x14ac:dyDescent="0.25"/>
    <row r="985" ht="16.5" customHeight="1" x14ac:dyDescent="0.25"/>
    <row r="986" ht="16.5" customHeight="1" x14ac:dyDescent="0.25"/>
    <row r="987" ht="16.5" customHeight="1" x14ac:dyDescent="0.25"/>
    <row r="988" ht="16.5" customHeight="1" x14ac:dyDescent="0.25"/>
    <row r="989" ht="16.5" customHeight="1" x14ac:dyDescent="0.25"/>
    <row r="990" ht="16.5" customHeight="1" x14ac:dyDescent="0.25"/>
    <row r="991" ht="16.5" customHeight="1" x14ac:dyDescent="0.25"/>
    <row r="992" ht="16.5" customHeight="1" x14ac:dyDescent="0.25"/>
    <row r="993" ht="16.5" customHeight="1" x14ac:dyDescent="0.25"/>
    <row r="994" ht="16.5" customHeight="1" x14ac:dyDescent="0.25"/>
    <row r="995" ht="16.5" customHeight="1" x14ac:dyDescent="0.25"/>
    <row r="996" ht="16.5" customHeight="1" x14ac:dyDescent="0.25"/>
    <row r="997" ht="16.5" customHeight="1" x14ac:dyDescent="0.25"/>
    <row r="998" ht="16.5" customHeight="1" x14ac:dyDescent="0.25"/>
    <row r="999" ht="16.5" customHeight="1" x14ac:dyDescent="0.25"/>
    <row r="1000" ht="16.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9923E00-F7FE-4B92-B190-FDBCB8BDD3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SAMSON ASSIGNMENT SOLVED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Ogunniyi Samson</dc:creator>
  <cp:lastModifiedBy>Ogunniyi Samson</cp:lastModifiedBy>
  <dcterms:created xsi:type="dcterms:W3CDTF">2025-10-30T12:28:00Z</dcterms:created>
  <dcterms:modified xsi:type="dcterms:W3CDTF">2026-03-21T06:35:28Z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CE00C0CAC4898A452A1C436918F75BB2_42</vt:lpwstr>
  </property>
  <property fmtid="{D5CDD505-2E9C-101B-9397-08002B2CF9AE}" pid="3" name="KSOProductBuildVer">
    <vt:lpwstr>1033-12.1.22533.22533</vt:lpwstr>
  </property>
</Properties>
</file>